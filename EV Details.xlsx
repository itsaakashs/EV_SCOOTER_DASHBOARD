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f80ddada6385b3/Documents/PROJECT/POWER BI PROJECT/REAL TIME PROJECT/EV Market And Performance Dashboard/Data/"/>
    </mc:Choice>
  </mc:AlternateContent>
  <xr:revisionPtr revIDLastSave="1530" documentId="8_{42F4C111-9916-4D58-BD09-C8B6772DAEB4}" xr6:coauthVersionLast="47" xr6:coauthVersionMax="47" xr10:uidLastSave="{252F7693-634D-4DAF-9A9B-944F5A247228}"/>
  <bookViews>
    <workbookView xWindow="-108" yWindow="-108" windowWidth="23256" windowHeight="12456" activeTab="5" xr2:uid="{38168B9F-0CDB-4153-B5EC-086A0A9E1ABB}"/>
  </bookViews>
  <sheets>
    <sheet name="Brand" sheetId="1" r:id="rId1"/>
    <sheet name="EV Full Details" sheetId="2" r:id="rId2"/>
    <sheet name="Price" sheetId="3" r:id="rId3"/>
    <sheet name="Total EV sales Units" sheetId="4" r:id="rId4"/>
    <sheet name="State wise EV sales " sheetId="7" r:id="rId5"/>
    <sheet name="Petrol Scooter Sales" sheetId="6" r:id="rId6"/>
    <sheet name="Tax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6" l="1"/>
  <c r="O10" i="6"/>
  <c r="O9" i="6"/>
  <c r="O8" i="6"/>
  <c r="O7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E29" i="1"/>
  <c r="R12" i="1"/>
  <c r="N11" i="1"/>
  <c r="N10" i="1"/>
  <c r="N9" i="1"/>
  <c r="N8" i="1"/>
  <c r="N7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4" i="4"/>
  <c r="S12" i="1" l="1"/>
</calcChain>
</file>

<file path=xl/sharedStrings.xml><?xml version="1.0" encoding="utf-8"?>
<sst xmlns="http://schemas.openxmlformats.org/spreadsheetml/2006/main" count="3139" uniqueCount="111">
  <si>
    <t>Brand</t>
  </si>
  <si>
    <t>Type</t>
  </si>
  <si>
    <t>Model</t>
  </si>
  <si>
    <t>Ather</t>
  </si>
  <si>
    <t>Rizta</t>
  </si>
  <si>
    <t>450S</t>
  </si>
  <si>
    <t>450X</t>
  </si>
  <si>
    <t>450 Apex</t>
  </si>
  <si>
    <t>Scooter</t>
  </si>
  <si>
    <t>TVS</t>
  </si>
  <si>
    <t>Variant</t>
  </si>
  <si>
    <t>TVS X</t>
  </si>
  <si>
    <t>TVS Orbiter</t>
  </si>
  <si>
    <t>Ola Electric</t>
  </si>
  <si>
    <t>Ola S1 X</t>
  </si>
  <si>
    <t>Ola S1 Pro</t>
  </si>
  <si>
    <t>Ola S1 Pro+</t>
  </si>
  <si>
    <t>Ola S1 X+</t>
  </si>
  <si>
    <t>Ola S1 Pro Sports</t>
  </si>
  <si>
    <t>Ola S1 Z</t>
  </si>
  <si>
    <t>Ola S1 Z+</t>
  </si>
  <si>
    <t>Vida</t>
  </si>
  <si>
    <t>V2 Pro</t>
  </si>
  <si>
    <t>V2 Plus</t>
  </si>
  <si>
    <t>VX2 Plus</t>
  </si>
  <si>
    <t>VX2 Go</t>
  </si>
  <si>
    <t>Bajaj</t>
  </si>
  <si>
    <t>Chetak</t>
  </si>
  <si>
    <t>Rizta S IDC range 123km</t>
  </si>
  <si>
    <t>Rizta S IDC range 159km</t>
  </si>
  <si>
    <t>Rizta Z IDC range 123km</t>
  </si>
  <si>
    <t>Rizta Z IDC range 159km</t>
  </si>
  <si>
    <t>450S IDC range 122km</t>
  </si>
  <si>
    <t>450S IDC range 161km</t>
  </si>
  <si>
    <t>450Z IDC range 126km</t>
  </si>
  <si>
    <t>450Z IDC range 161km</t>
  </si>
  <si>
    <t>iQube</t>
  </si>
  <si>
    <t>iQube 2.2kWh</t>
  </si>
  <si>
    <t>iQube 3.1kWh</t>
  </si>
  <si>
    <t>iQube 3.5kWh</t>
  </si>
  <si>
    <t>iQube S</t>
  </si>
  <si>
    <t>iQube ST</t>
  </si>
  <si>
    <t>iQube ST 3.5kWh</t>
  </si>
  <si>
    <t>iQube ST 5.3kWh</t>
  </si>
  <si>
    <t>Ola S1 X  3kWh</t>
  </si>
  <si>
    <t>Ola S1 X  4kWh</t>
  </si>
  <si>
    <t>Ola S1 X  2kWh</t>
  </si>
  <si>
    <t>Ola S1 Pro 3kWh</t>
  </si>
  <si>
    <t>Ola S1 Pro 4kWh</t>
  </si>
  <si>
    <t>Ola S1 Pro Sports 5.2kWh</t>
  </si>
  <si>
    <t>Bajai</t>
  </si>
  <si>
    <t>Chetak 3501</t>
  </si>
  <si>
    <t>Chetak 3502</t>
  </si>
  <si>
    <t>Chetak 3503</t>
  </si>
  <si>
    <t>Chetak 3001</t>
  </si>
  <si>
    <t>Battery Type</t>
  </si>
  <si>
    <t>Battery Capacity(kWh)</t>
  </si>
  <si>
    <t>IDC(km)</t>
  </si>
  <si>
    <t>Top Speed(km/h)</t>
  </si>
  <si>
    <t>Lithium-ion</t>
  </si>
  <si>
    <t>No</t>
  </si>
  <si>
    <t>Charging Time(hr)</t>
  </si>
  <si>
    <t>Yes</t>
  </si>
  <si>
    <t>Price</t>
  </si>
  <si>
    <t>Touchscreen</t>
  </si>
  <si>
    <t>Max Power</t>
  </si>
  <si>
    <t>Weight</t>
  </si>
  <si>
    <t>Ola S1 X Plus</t>
  </si>
  <si>
    <t>Keyless Lock</t>
  </si>
  <si>
    <t>Ola</t>
  </si>
  <si>
    <t>Total</t>
  </si>
  <si>
    <t>Total Variant</t>
  </si>
  <si>
    <t>Insurance</t>
  </si>
  <si>
    <t>GST %</t>
  </si>
  <si>
    <t>Bike Type</t>
  </si>
  <si>
    <t>Ola S1 Pro Sports 4kWh</t>
  </si>
  <si>
    <t xml:space="preserve">VX2 Plus </t>
  </si>
  <si>
    <t>VX2 Go 2.2kWh</t>
  </si>
  <si>
    <t>VX2 Go 3.4kWh</t>
  </si>
  <si>
    <t>Under Storage Capacity</t>
  </si>
  <si>
    <t>Honda</t>
  </si>
  <si>
    <t>Suzuki</t>
  </si>
  <si>
    <t xml:space="preserve"> Date</t>
  </si>
  <si>
    <t>Road Tax%</t>
  </si>
  <si>
    <t xml:space="preserve">Registration Fees </t>
  </si>
  <si>
    <t>EV Scooter</t>
  </si>
  <si>
    <t>Petrol Scooter</t>
  </si>
  <si>
    <t>Hero</t>
  </si>
  <si>
    <t xml:space="preserve"> </t>
  </si>
  <si>
    <t>Date</t>
  </si>
  <si>
    <t>State</t>
  </si>
  <si>
    <t>Sales</t>
  </si>
  <si>
    <t>Maharashtra</t>
  </si>
  <si>
    <t>Tamil Nadu</t>
  </si>
  <si>
    <t>Karnataka</t>
  </si>
  <si>
    <t>Uttar Pradesh</t>
  </si>
  <si>
    <t>Delhi</t>
  </si>
  <si>
    <t>Gujarat</t>
  </si>
  <si>
    <t>Rajasthan</t>
  </si>
  <si>
    <t>West Bengal</t>
  </si>
  <si>
    <t>Kerala</t>
  </si>
  <si>
    <t>Telangana</t>
  </si>
  <si>
    <t>Other</t>
  </si>
  <si>
    <t>%</t>
  </si>
  <si>
    <t>iQube S 3.5kWh</t>
  </si>
  <si>
    <t>Ola S1 Pro Plus 4kWh</t>
  </si>
  <si>
    <t>Ola S1 Pro Plus 5.2kWh</t>
  </si>
  <si>
    <t>Ola S1 Z Plus</t>
  </si>
  <si>
    <t xml:space="preserve">iQube </t>
  </si>
  <si>
    <t>Petrol Model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</si>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</sst>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  <xf numFmtId="1" fontId="2" fillId="0" borderId="0" xfId="0" applyNumberFormat="1" applyFont="1"/>
    <xf numFmtId="14" fontId="0" fillId="2" borderId="1" xfId="0" applyNumberFormat="1" applyFill="1" applyBorder="1"/>
    <xf numFmtId="14" fontId="0" fillId="0" borderId="1" xfId="0" applyNumberFormat="1" applyBorder="1"/>
    <xf numFmtId="0" fontId="4" fillId="3" borderId="3" xfId="0" applyFont="1" applyFill="1" applyBorder="1"/>
    <xf numFmtId="0" fontId="4" fillId="3" borderId="4" xfId="0" applyFont="1" applyFill="1" applyBorder="1"/>
    <xf numFmtId="0" fontId="0" fillId="0" borderId="0" xfId="0" applyFont="1"/>
    <xf numFmtId="0" fontId="2" fillId="3" borderId="1" xfId="0" applyFont="1" applyFill="1" applyBorder="1"/>
    <xf numFmtId="3" fontId="5" fillId="0" borderId="0" xfId="0" applyNumberFormat="1" applyFont="1"/>
    <xf numFmtId="3" fontId="0" fillId="0" borderId="0" xfId="0" applyNumberFormat="1" applyFont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color theme="1"/>
      </font>
      <numFmt numFmtId="3" formatCode="#,##0"/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701040</xdr:colOff>
      <xdr:row>1</xdr:row>
      <xdr:rowOff>152400</xdr:rowOff>
    </xdr:from>
    <xdr:to>
      <xdr:col>8</xdr:col>
      <xdr:colOff>739140</xdr:colOff>
      <xdr:row>4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D1B45E7-00E0-1CA4-AFAE-7CC12B6E1A54}"/>
            </a:ext>
          </a:extLst>
        </xdr:cNvPr>
        <xdr:cNvSpPr/>
      </xdr:nvSpPr>
      <xdr:spPr>
        <a:xfrm>
          <a:off x="3139440" y="335280"/>
          <a:ext cx="5730240" cy="40386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Ather EV Details</a:t>
          </a:r>
        </a:p>
      </xdr:txBody>
    </xdr:sp>
    <xdr:clientData/>
  </xdr:twoCellAnchor>
  <xdr:twoCellAnchor>
    <xdr:from>
      <xdr:col>3</xdr:col>
      <xdr:colOff>690283</xdr:colOff>
      <xdr:row>17</xdr:row>
      <xdr:rowOff>134471</xdr:rowOff>
    </xdr:from>
    <xdr:to>
      <xdr:col>8</xdr:col>
      <xdr:colOff>728383</xdr:colOff>
      <xdr:row>19</xdr:row>
      <xdr:rowOff>168985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2513AB-F23E-413B-AB1C-923951C864CF}"/>
            </a:ext>
          </a:extLst>
        </xdr:cNvPr>
        <xdr:cNvSpPr/>
      </xdr:nvSpPr>
      <xdr:spPr>
        <a:xfrm>
          <a:off x="3128683" y="3236259"/>
          <a:ext cx="6241676" cy="39310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TVS EV Details</a:t>
          </a:r>
        </a:p>
      </xdr:txBody>
    </xdr:sp>
    <xdr:clientData/>
  </xdr:twoCellAnchor>
  <xdr:twoCellAnchor>
    <xdr:from>
      <xdr:col>3</xdr:col>
      <xdr:colOff>627530</xdr:colOff>
      <xdr:row>33</xdr:row>
      <xdr:rowOff>8965</xdr:rowOff>
    </xdr:from>
    <xdr:to>
      <xdr:col>8</xdr:col>
      <xdr:colOff>665630</xdr:colOff>
      <xdr:row>35</xdr:row>
      <xdr:rowOff>43478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62F0556-4732-4005-9647-DA904B9C5399}"/>
            </a:ext>
          </a:extLst>
        </xdr:cNvPr>
        <xdr:cNvSpPr/>
      </xdr:nvSpPr>
      <xdr:spPr>
        <a:xfrm>
          <a:off x="3065930" y="6033247"/>
          <a:ext cx="6241676" cy="39310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Ola EV Details</a:t>
          </a:r>
        </a:p>
      </xdr:txBody>
    </xdr:sp>
    <xdr:clientData/>
  </xdr:twoCellAnchor>
  <xdr:twoCellAnchor>
    <xdr:from>
      <xdr:col>4</xdr:col>
      <xdr:colOff>316675</xdr:colOff>
      <xdr:row>55</xdr:row>
      <xdr:rowOff>168234</xdr:rowOff>
    </xdr:from>
    <xdr:to>
      <xdr:col>9</xdr:col>
      <xdr:colOff>305294</xdr:colOff>
      <xdr:row>58</xdr:row>
      <xdr:rowOff>24616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A60E401-7753-4E10-8120-F299A2C04474}"/>
            </a:ext>
          </a:extLst>
        </xdr:cNvPr>
        <xdr:cNvSpPr/>
      </xdr:nvSpPr>
      <xdr:spPr>
        <a:xfrm>
          <a:off x="4166259" y="10113818"/>
          <a:ext cx="6242957" cy="39077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Vida EV Details</a:t>
          </a:r>
        </a:p>
      </xdr:txBody>
    </xdr:sp>
    <xdr:clientData/>
  </xdr:twoCellAnchor>
  <xdr:twoCellAnchor>
    <xdr:from>
      <xdr:col>4</xdr:col>
      <xdr:colOff>351692</xdr:colOff>
      <xdr:row>68</xdr:row>
      <xdr:rowOff>150725</xdr:rowOff>
    </xdr:from>
    <xdr:to>
      <xdr:col>9</xdr:col>
      <xdr:colOff>340311</xdr:colOff>
      <xdr:row>71</xdr:row>
      <xdr:rowOff>7108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29ECFCC-2546-49E0-A43E-04159CB40DB5}"/>
            </a:ext>
          </a:extLst>
        </xdr:cNvPr>
        <xdr:cNvSpPr/>
      </xdr:nvSpPr>
      <xdr:spPr>
        <a:xfrm>
          <a:off x="4203560" y="12845143"/>
          <a:ext cx="6235344" cy="40904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Bajaj EV Details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D58B1-EF48-48FE-AD7F-F4DF974E7298}" name="Table1" displayName="Table1" ref="B5:E26" totalsRowShown="0" headerRowDxfId="27">
  <autoFilter ref="B5:E26" xr:uid="{13CD58B1-EF48-48FE-AD7F-F4DF974E7298}"/>
  <tableColumns count="4">
    <tableColumn id="1" xr3:uid="{C24B6B34-8068-4E18-9E61-A1FC814CE1E5}" name="Brand"/>
    <tableColumn id="2" xr3:uid="{02771CE0-FEA0-417B-A565-B8F5A0CBF029}" name="Type"/>
    <tableColumn id="3" xr3:uid="{5A52CFF3-218A-490D-8F74-E05ACF19CF48}" name="Model"/>
    <tableColumn id="4" xr3:uid="{4B2AFB9A-875C-459D-9B84-74E35EFEC4A7}" name="Vari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828EEA-301A-40EF-AC7C-700C3B7FA24B}" name="Table2" displayName="Table2" ref="G5:J43" totalsRowShown="0" headerRowDxfId="26">
  <autoFilter ref="G5:J43" xr:uid="{B5828EEA-301A-40EF-AC7C-700C3B7FA24B}"/>
  <tableColumns count="4">
    <tableColumn id="1" xr3:uid="{87E88A78-1E42-4085-8DA9-D9FE4515CD55}" name="Brand"/>
    <tableColumn id="2" xr3:uid="{7535152C-2A3F-4E14-8CFA-74CAEDD53023}" name="Type"/>
    <tableColumn id="3" xr3:uid="{CC49F3B1-C1C5-472C-A9B9-96367210A12E}" name="Model"/>
    <tableColumn id="4" xr3:uid="{CC8751F0-1DC5-40A4-A224-715838540193}" name="Varia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2B06F1-EE17-4591-9D0C-270E7F5CB49C}" name="Table4" displayName="Table4" ref="M6:N11" totalsRowShown="0" headerRowDxfId="25">
  <autoFilter ref="M6:N11" xr:uid="{EB2B06F1-EE17-4591-9D0C-270E7F5CB49C}"/>
  <tableColumns count="2">
    <tableColumn id="1" xr3:uid="{7D68990F-F342-460C-9B81-8E0A17D5C3E3}" name="Brand"/>
    <tableColumn id="2" xr3:uid="{FDD874F9-1B99-40B5-8DD6-58B5C3E8326F}" name="Total Vari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39AC8B-049F-472E-9193-EEB8C07960DF}" name="Table6" displayName="Table6" ref="B6:N15" totalsRowShown="0" headerRowDxfId="24">
  <autoFilter ref="B6:N15" xr:uid="{6F39AC8B-049F-472E-9193-EEB8C07960DF}"/>
  <tableColumns count="13">
    <tableColumn id="1" xr3:uid="{353539F6-0B71-44B8-ACFF-0F3BD1889A05}" name="Model" dataDxfId="23"/>
    <tableColumn id="2" xr3:uid="{ECC165A0-B71A-47F9-9A1F-84CA25F6ECDA}" name="Type"/>
    <tableColumn id="3" xr3:uid="{CC185F3D-CA6F-4DA5-8C35-429D9F9A3AE1}" name="Variant" dataDxfId="22"/>
    <tableColumn id="4" xr3:uid="{59312A1D-E83F-4765-8E81-649F9EFD9DC9}" name="IDC(km)"/>
    <tableColumn id="5" xr3:uid="{F48C451F-F0B7-44AF-97B7-763BD1856CC5}" name="Battery Capacity(kWh)"/>
    <tableColumn id="6" xr3:uid="{71BF31D9-F5FC-4BF6-B07D-372FE766901F}" name="Battery Type"/>
    <tableColumn id="7" xr3:uid="{96AB0289-9A60-47F0-8D61-7ADE3D448693}" name="Top Speed(km/h)"/>
    <tableColumn id="8" xr3:uid="{3020F778-233F-4785-A199-79202547C371}" name="Keyless Lock"/>
    <tableColumn id="9" xr3:uid="{675172AA-7E4E-46AE-BFC8-EB030F0372C6}" name="Charging Time(hr)"/>
    <tableColumn id="10" xr3:uid="{7B7E71FC-90E5-42A9-8945-027A2AC0ADD6}" name="Max Power"/>
    <tableColumn id="11" xr3:uid="{29C3E710-072A-4EE7-A11E-13101D7287D9}" name="Weight"/>
    <tableColumn id="12" xr3:uid="{BD60D01B-32FA-4066-B239-5F242EEB8E06}" name="Touchscreen"/>
    <tableColumn id="13" xr3:uid="{A2529355-CA23-49E3-A12A-BBA820268E40}" name="Under Storage Capac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B62137-B0DF-440F-9A48-DCDC4B1AE70F}" name="Table7" displayName="Table7" ref="B22:N30" totalsRowShown="0" headerRowDxfId="21">
  <autoFilter ref="B22:N30" xr:uid="{A7B62137-B0DF-440F-9A48-DCDC4B1AE70F}"/>
  <tableColumns count="13">
    <tableColumn id="1" xr3:uid="{87FBFC75-D6F8-47A2-8F0E-B17648E3D560}" name="Model" dataDxfId="20"/>
    <tableColumn id="2" xr3:uid="{88B3AA8F-BBCC-4D50-A85C-7BC96E66BB96}" name="Type"/>
    <tableColumn id="3" xr3:uid="{EF5305F5-D2C6-4EE1-862E-8439EAFF4133}" name="Variant" dataDxfId="19"/>
    <tableColumn id="4" xr3:uid="{D8B61EDE-C6F7-4395-88C1-98BDAFD13CDC}" name="IDC(km)"/>
    <tableColumn id="5" xr3:uid="{8DDD6DAA-F0B9-42BC-AF9E-7DF6BA58C3AE}" name="Battery Capacity(kWh)"/>
    <tableColumn id="6" xr3:uid="{4E1B70D3-308E-40B8-B7E7-B0183BF48CDA}" name="Battery Type"/>
    <tableColumn id="7" xr3:uid="{FD069F5A-0FD0-4948-A8C2-B18993397D8E}" name="Top Speed(km/h)"/>
    <tableColumn id="8" xr3:uid="{ECF798B9-0AC9-4A7B-A586-BCAE44D78345}" name="Keyless Lock"/>
    <tableColumn id="9" xr3:uid="{C2CFEEE3-CBF5-419B-8001-DEBB46F56C7E}" name="Charging Time(hr)"/>
    <tableColumn id="10" xr3:uid="{AE49BD3D-766A-4411-9B9F-6BDB47E90C8F}" name="Max Power"/>
    <tableColumn id="11" xr3:uid="{B8A88A4F-6514-48ED-8658-DA3CE880E625}" name="Weight"/>
    <tableColumn id="12" xr3:uid="{0E222675-B70C-465E-BA43-14139E084CAF}" name="Touchscreen"/>
    <tableColumn id="13" xr3:uid="{EDDB9581-F6A4-4500-A737-71F02998B2F2}" name="Under Storage Capac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2B8ABD-398A-4544-BC14-855C5CF1D84C}" name="Table8" displayName="Table8" ref="B37:N49" totalsRowShown="0" headerRowDxfId="18">
  <autoFilter ref="B37:N49" xr:uid="{952B8ABD-398A-4544-BC14-855C5CF1D84C}"/>
  <tableColumns count="13">
    <tableColumn id="1" xr3:uid="{C8B9E18A-6786-48EC-B58A-5F1ACA6DBE3F}" name="Model" dataDxfId="17"/>
    <tableColumn id="2" xr3:uid="{A369E112-6F43-4647-BCEB-1AB7C6BC113C}" name="Type"/>
    <tableColumn id="3" xr3:uid="{EBB9DC2F-81D1-411E-AAE2-CA931B59B31B}" name="Variant" dataDxfId="16"/>
    <tableColumn id="4" xr3:uid="{060BC04E-FA86-4F7D-B425-864F562FC231}" name="IDC(km)"/>
    <tableColumn id="5" xr3:uid="{F96CE7DE-1CE3-462F-811F-5063E6B0DF6D}" name="Battery Capacity(kWh)"/>
    <tableColumn id="6" xr3:uid="{81E9903D-55CC-475D-8F88-C5BE24CFF66F}" name="Battery Type"/>
    <tableColumn id="7" xr3:uid="{20C065BE-B394-4458-B069-21D35893ABA0}" name="Top Speed(km/h)"/>
    <tableColumn id="8" xr3:uid="{395EC77C-B395-4262-8DFE-8E5CA42DA2FE}" name="Keyless Lock"/>
    <tableColumn id="9" xr3:uid="{F722B39F-56EB-41E3-B37C-5745F392F61A}" name="Charging Time(hr)"/>
    <tableColumn id="10" xr3:uid="{3F8714C7-580B-44A6-A8DB-68E2FE0A7251}" name="Max Power"/>
    <tableColumn id="11" xr3:uid="{405A5EEB-30B7-4D95-9CA9-CFD191C1FB36}" name="Weight"/>
    <tableColumn id="12" xr3:uid="{B84853DA-20B5-4565-8126-4014B45DB588}" name="Touchscreen"/>
    <tableColumn id="13" xr3:uid="{35AA8D78-F2D5-42BD-AE6D-CE2105D9FA08}" name="Under Storage Capac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D8AEA4-F792-4EC0-97C0-25962CCEE782}" name="Table9" displayName="Table9" ref="B62:N67" totalsRowShown="0" headerRowDxfId="15">
  <autoFilter ref="B62:N67" xr:uid="{82D8AEA4-F792-4EC0-97C0-25962CCEE782}"/>
  <tableColumns count="13">
    <tableColumn id="1" xr3:uid="{F53069C8-D77B-48A7-9BDF-9A4DBC2FC32E}" name="Model"/>
    <tableColumn id="2" xr3:uid="{E41ADC4E-D692-4A03-B746-3F1789FDE500}" name="Type"/>
    <tableColumn id="3" xr3:uid="{1D6B11FA-0039-4F22-8B1B-32880350034D}" name="Variant"/>
    <tableColumn id="4" xr3:uid="{89C3DD24-297E-47E5-A586-D29AB6C178B3}" name="IDC(km)"/>
    <tableColumn id="5" xr3:uid="{A37B7068-97CA-41C3-A0B6-096A25DE1736}" name="Battery Capacity(kWh)"/>
    <tableColumn id="6" xr3:uid="{5B8511CD-AE17-455E-9EDE-7D458AB907C1}" name="Battery Type"/>
    <tableColumn id="7" xr3:uid="{31C117D4-6C97-4E72-8AD1-13D9C3B05582}" name="Top Speed(km/h)"/>
    <tableColumn id="8" xr3:uid="{A4C38FE3-C7EC-4D8A-AC45-E4B332253CFF}" name="Keyless Lock"/>
    <tableColumn id="9" xr3:uid="{6FC342A7-0011-4FAF-996F-63F232082CED}" name="Charging Time(hr)"/>
    <tableColumn id="10" xr3:uid="{E4CA135E-C367-484A-8474-3281BE97C297}" name="Max Power"/>
    <tableColumn id="11" xr3:uid="{97ECC8E1-5235-45F1-99BA-C99DCF647ADD}" name="Weight"/>
    <tableColumn id="12" xr3:uid="{A1E6A391-6F64-464B-9119-4D78C937F1DC}" name="Touchscreen"/>
    <tableColumn id="13" xr3:uid="{8AA34B0E-71F2-4F20-97A4-5A039B1EA354}" name="Under Storage Capac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2AA86F-C9BA-46BA-93FD-ACF27107B74D}" name="Table10" displayName="Table10" ref="B73:N77" totalsRowShown="0" headerRowDxfId="14">
  <autoFilter ref="B73:N77" xr:uid="{242AA86F-C9BA-46BA-93FD-ACF27107B74D}"/>
  <tableColumns count="13">
    <tableColumn id="1" xr3:uid="{79FE237E-C9B6-4DDE-B332-4863D1CC01CB}" name="Model"/>
    <tableColumn id="2" xr3:uid="{EBA55D01-96BF-43F9-AEC9-2869443F1D3E}" name="Type"/>
    <tableColumn id="3" xr3:uid="{14C1A6CA-BE21-49AB-B569-6565C29BEC76}" name="Variant" dataDxfId="13"/>
    <tableColumn id="4" xr3:uid="{0F2F29D6-2E8F-46CB-AEFF-10FBDE8D96AA}" name="IDC(km)"/>
    <tableColumn id="5" xr3:uid="{2AAE33F5-D5B9-44CB-A0B4-4E47B7F90A83}" name="Battery Capacity(kWh)"/>
    <tableColumn id="6" xr3:uid="{AD589350-0125-4FBE-A4F4-6945BD73C3DF}" name="Battery Type"/>
    <tableColumn id="7" xr3:uid="{AFE49DD4-238B-49A9-A68A-F7D4D832CEFF}" name="Top Speed(km/h)"/>
    <tableColumn id="8" xr3:uid="{5AFF1501-5AF1-40ED-9E09-9902BB285D5A}" name="Keyless Lock"/>
    <tableColumn id="9" xr3:uid="{68478DAE-2BC9-49C5-A73E-3C39C5277EA7}" name="Charging Time(hr)"/>
    <tableColumn id="10" xr3:uid="{07C43485-8A07-4D29-A5AE-A0B9C375699E}" name="Max Power"/>
    <tableColumn id="11" xr3:uid="{4480FE34-13EF-4D97-82F7-17EB94EC049A}" name="Weight"/>
    <tableColumn id="12" xr3:uid="{01448618-7D86-4B68-AD25-891149B4623A}" name="Touchscreen"/>
    <tableColumn id="13" xr3:uid="{4F4AE411-F5B3-41E9-A1AB-66C813E2F2D4}" name="Under Storage Capac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A2BED8-4B59-4A11-A07A-7EEE0CD982CB}" name="Table11" displayName="Table11" ref="D5:E43" totalsRowShown="0" headerRowDxfId="12">
  <autoFilter ref="D5:E43" xr:uid="{37A2BED8-4B59-4A11-A07A-7EEE0CD982CB}"/>
  <tableColumns count="2">
    <tableColumn id="1" xr3:uid="{0152CB98-1F92-4849-8B25-99E00543B9F1}" name="Variant" dataDxfId="11"/>
    <tableColumn id="2" xr3:uid="{6B61AE21-8B2F-4D5C-AA6C-B184F4732B68}" name="Pri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EC2537-0327-4630-856B-611BEEA5BAF7}" name="Table3" displayName="Table3" ref="B3:H26" totalsRowShown="0" headerRowDxfId="10">
  <autoFilter ref="B3:H26" xr:uid="{3AEC2537-0327-4630-856B-611BEEA5BAF7}"/>
  <tableColumns count="7">
    <tableColumn id="1" xr3:uid="{DA5B8C75-6729-4C71-8CF1-4F9962F05A34}" name=" Date"/>
    <tableColumn id="2" xr3:uid="{CE2F7B66-3223-4C35-BB29-4E2323206F9C}" name="Ather"/>
    <tableColumn id="3" xr3:uid="{93F884C5-059A-47F4-9FAE-3B55644E74EB}" name="TVS"/>
    <tableColumn id="4" xr3:uid="{627B6CA6-CDF4-4619-9FDB-42A92BBC7882}" name="Ola"/>
    <tableColumn id="5" xr3:uid="{95C0E7AD-43F2-4CC2-9FBE-1D4E25A4F1B6}" name="Vida"/>
    <tableColumn id="6" xr3:uid="{D57D554C-F3DA-4FCD-8B5E-62649DADC94F}" name="Bajaj"/>
    <tableColumn id="7" xr3:uid="{134C7CE0-97B2-4C7B-A8CF-C744308752A1}" name="Total">
      <calculatedColumnFormula>SUM(C4:G4)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5A5CA8-128A-46E1-9F77-5EEF8E34EF12}" name="Table5" displayName="Table5" ref="B2:E1267" totalsRowShown="0" headerRowDxfId="9">
  <autoFilter ref="B2:E1267" xr:uid="{6A5A5CA8-128A-46E1-9F77-5EEF8E34EF12}"/>
  <tableColumns count="4">
    <tableColumn id="1" xr3:uid="{D56113D0-41DC-489E-850D-9F75D01867FF}" name="Date" dataDxfId="8"/>
    <tableColumn id="2" xr3:uid="{8E2C36B7-ADD5-4E73-8277-93CD6BB8CCFC}" name="Brand"/>
    <tableColumn id="3" xr3:uid="{F91F8A8D-CEB7-493D-9D00-AAC4BA21E64E}" name="State"/>
    <tableColumn id="4" xr3:uid="{45893538-DE4D-4853-A8A5-7A899240F54E}" name="Sal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5F8EB9-97E7-4158-904B-4C44373F3853}" name="Table12" displayName="Table12" ref="C4:I27" totalsRowShown="0" headerRowDxfId="7" headerRowBorderDxfId="6" tableBorderDxfId="5">
  <autoFilter ref="C4:I27" xr:uid="{155F8EB9-97E7-4158-904B-4C44373F3853}"/>
  <tableColumns count="7">
    <tableColumn id="1" xr3:uid="{6270DCA0-0481-42D3-9ECD-5FB2849CE768}" name=" Date" dataDxfId="4"/>
    <tableColumn id="2" xr3:uid="{D51C9EE0-7B44-4C85-9654-AA4EB4686F40}" name="Honda"/>
    <tableColumn id="3" xr3:uid="{2C3A1860-D6C2-474C-91A5-ED26984C4D0E}" name="TVS"/>
    <tableColumn id="4" xr3:uid="{5E508EC4-0140-4D0B-AD4D-4234667136F8}" name="Suzuki"/>
    <tableColumn id="5" xr3:uid="{8403B782-F3CA-447E-B706-9BE02365543F}" name="Bajaj"/>
    <tableColumn id="6" xr3:uid="{731FBC9C-F203-4274-BB39-3482C681F754}" name="Hero"/>
    <tableColumn id="7" xr3:uid="{0DBF2283-46CF-4207-9244-EE12FCE31EB9}" name="Total">
      <calculatedColumnFormula>SUM(D5:H5)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245819B-F8C0-46EE-995E-49ED5AB6158F}" name="Table13" displayName="Table13" ref="N6:O11" totalsRowShown="0" headerRowDxfId="2" dataDxfId="1">
  <autoFilter ref="N6:O11" xr:uid="{B245819B-F8C0-46EE-995E-49ED5AB6158F}"/>
  <tableColumns count="2">
    <tableColumn id="1" xr3:uid="{3538C3D5-AAF9-43AC-B23F-7E0E26A2B747}" name="Petrol Model" dataDxfId="3"/>
    <tableColumn id="2" xr3:uid="{3EFF49B3-354C-4C2B-8AA4-4899228B49D1}" name="Avg Price" dataDxfId="0">
      <calculatedColumnFormula>AVERAGE(70,0+1,2,0)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44B5-4616-447F-84CE-B0236FA30596}">
  <dimension ref="B5:S43"/>
  <sheetViews>
    <sheetView zoomScale="83" zoomScaleNormal="64" workbookViewId="0">
      <selection activeCell="K5" sqref="K5"/>
    </sheetView>
  </sheetViews>
  <sheetFormatPr defaultRowHeight="14.4" x14ac:dyDescent="0.3"/>
  <cols>
    <col min="2" max="2" width="10.33203125" customWidth="1"/>
    <col min="4" max="4" width="13.77734375" customWidth="1"/>
    <col min="5" max="5" width="10.88671875" customWidth="1"/>
    <col min="6" max="6" width="14.21875" customWidth="1"/>
    <col min="7" max="7" width="10.6640625" customWidth="1"/>
    <col min="9" max="9" width="15.21875" customWidth="1"/>
    <col min="10" max="10" width="28.109375" customWidth="1"/>
    <col min="11" max="11" width="18.5546875" customWidth="1"/>
    <col min="14" max="14" width="14.109375" customWidth="1"/>
    <col min="15" max="15" width="13.44140625" customWidth="1"/>
  </cols>
  <sheetData>
    <row r="5" spans="2:19" ht="18" x14ac:dyDescent="0.35">
      <c r="B5" s="1" t="s">
        <v>0</v>
      </c>
      <c r="C5" s="1" t="s">
        <v>1</v>
      </c>
      <c r="D5" s="1" t="s">
        <v>2</v>
      </c>
      <c r="E5" s="1" t="s">
        <v>10</v>
      </c>
      <c r="G5" s="1" t="s">
        <v>0</v>
      </c>
      <c r="H5" s="1" t="s">
        <v>1</v>
      </c>
      <c r="I5" s="1" t="s">
        <v>2</v>
      </c>
      <c r="J5" s="1" t="s">
        <v>10</v>
      </c>
    </row>
    <row r="6" spans="2:19" x14ac:dyDescent="0.3">
      <c r="B6" t="s">
        <v>3</v>
      </c>
      <c r="C6" t="s">
        <v>8</v>
      </c>
      <c r="D6" s="2" t="s">
        <v>4</v>
      </c>
      <c r="E6">
        <v>4</v>
      </c>
      <c r="G6" t="s">
        <v>3</v>
      </c>
      <c r="H6" t="s">
        <v>8</v>
      </c>
      <c r="I6" s="2" t="s">
        <v>4</v>
      </c>
      <c r="J6" s="3" t="s">
        <v>28</v>
      </c>
      <c r="M6" s="6" t="s">
        <v>0</v>
      </c>
      <c r="N6" s="6" t="s">
        <v>71</v>
      </c>
      <c r="O6" s="6"/>
    </row>
    <row r="7" spans="2:19" x14ac:dyDescent="0.3">
      <c r="B7" t="s">
        <v>3</v>
      </c>
      <c r="C7" t="s">
        <v>8</v>
      </c>
      <c r="D7" s="2" t="s">
        <v>5</v>
      </c>
      <c r="E7">
        <v>2</v>
      </c>
      <c r="G7" t="s">
        <v>3</v>
      </c>
      <c r="H7" t="s">
        <v>8</v>
      </c>
      <c r="I7" s="4" t="s">
        <v>4</v>
      </c>
      <c r="J7" s="5" t="s">
        <v>29</v>
      </c>
      <c r="M7" t="s">
        <v>3</v>
      </c>
      <c r="N7">
        <f>COUNTIF(Table2[Brand],G6)</f>
        <v>9</v>
      </c>
    </row>
    <row r="8" spans="2:19" x14ac:dyDescent="0.3">
      <c r="B8" t="s">
        <v>3</v>
      </c>
      <c r="C8" t="s">
        <v>8</v>
      </c>
      <c r="D8" s="2" t="s">
        <v>6</v>
      </c>
      <c r="E8">
        <v>2</v>
      </c>
      <c r="G8" t="s">
        <v>3</v>
      </c>
      <c r="H8" t="s">
        <v>8</v>
      </c>
      <c r="I8" s="2" t="s">
        <v>4</v>
      </c>
      <c r="J8" s="3" t="s">
        <v>30</v>
      </c>
      <c r="M8" t="s">
        <v>13</v>
      </c>
      <c r="N8">
        <f>COUNTIF(G6:G49,G23)</f>
        <v>12</v>
      </c>
    </row>
    <row r="9" spans="2:19" x14ac:dyDescent="0.3">
      <c r="B9" t="s">
        <v>3</v>
      </c>
      <c r="C9" t="s">
        <v>8</v>
      </c>
      <c r="D9" s="2" t="s">
        <v>7</v>
      </c>
      <c r="E9">
        <v>1</v>
      </c>
      <c r="G9" t="s">
        <v>3</v>
      </c>
      <c r="H9" t="s">
        <v>8</v>
      </c>
      <c r="I9" s="4" t="s">
        <v>4</v>
      </c>
      <c r="J9" s="5" t="s">
        <v>31</v>
      </c>
      <c r="M9" t="s">
        <v>9</v>
      </c>
      <c r="N9">
        <f>COUNTIF(G6:G52,G18)</f>
        <v>8</v>
      </c>
    </row>
    <row r="10" spans="2:19" x14ac:dyDescent="0.3">
      <c r="B10" t="s">
        <v>9</v>
      </c>
      <c r="C10" t="s">
        <v>8</v>
      </c>
      <c r="D10" s="2" t="s">
        <v>108</v>
      </c>
      <c r="E10">
        <v>3</v>
      </c>
      <c r="G10" t="s">
        <v>3</v>
      </c>
      <c r="H10" t="s">
        <v>8</v>
      </c>
      <c r="I10" s="2" t="s">
        <v>5</v>
      </c>
      <c r="J10" s="3" t="s">
        <v>32</v>
      </c>
      <c r="M10" t="s">
        <v>21</v>
      </c>
      <c r="N10">
        <f>COUNTIF(G6:G50,G36)</f>
        <v>5</v>
      </c>
    </row>
    <row r="11" spans="2:19" x14ac:dyDescent="0.3">
      <c r="B11" t="s">
        <v>9</v>
      </c>
      <c r="C11" t="s">
        <v>8</v>
      </c>
      <c r="D11" s="2" t="s">
        <v>40</v>
      </c>
      <c r="E11">
        <v>1</v>
      </c>
      <c r="G11" t="s">
        <v>3</v>
      </c>
      <c r="H11" t="s">
        <v>8</v>
      </c>
      <c r="I11" s="4" t="s">
        <v>5</v>
      </c>
      <c r="J11" s="5" t="s">
        <v>33</v>
      </c>
      <c r="M11" t="s">
        <v>26</v>
      </c>
      <c r="N11">
        <f>COUNTIF(G6:G50,G41)</f>
        <v>4</v>
      </c>
    </row>
    <row r="12" spans="2:19" x14ac:dyDescent="0.3">
      <c r="B12" t="s">
        <v>9</v>
      </c>
      <c r="C12" t="s">
        <v>8</v>
      </c>
      <c r="D12" s="4" t="s">
        <v>41</v>
      </c>
      <c r="E12">
        <v>2</v>
      </c>
      <c r="G12" t="s">
        <v>3</v>
      </c>
      <c r="H12" t="s">
        <v>8</v>
      </c>
      <c r="I12" s="2" t="s">
        <v>6</v>
      </c>
      <c r="J12" s="3" t="s">
        <v>34</v>
      </c>
      <c r="R12">
        <f>COUNTA(Table2[Brand])</f>
        <v>38</v>
      </c>
      <c r="S12">
        <f>SUM(Table4[Total Variant])</f>
        <v>38</v>
      </c>
    </row>
    <row r="13" spans="2:19" x14ac:dyDescent="0.3">
      <c r="B13" t="s">
        <v>9</v>
      </c>
      <c r="C13" t="s">
        <v>8</v>
      </c>
      <c r="D13" s="4" t="s">
        <v>11</v>
      </c>
      <c r="E13">
        <v>1</v>
      </c>
      <c r="G13" t="s">
        <v>3</v>
      </c>
      <c r="H13" t="s">
        <v>8</v>
      </c>
      <c r="I13" s="4" t="s">
        <v>6</v>
      </c>
      <c r="J13" s="5" t="s">
        <v>35</v>
      </c>
    </row>
    <row r="14" spans="2:19" x14ac:dyDescent="0.3">
      <c r="B14" t="s">
        <v>9</v>
      </c>
      <c r="C14" t="s">
        <v>8</v>
      </c>
      <c r="D14" s="2" t="s">
        <v>12</v>
      </c>
      <c r="E14">
        <v>1</v>
      </c>
      <c r="G14" t="s">
        <v>3</v>
      </c>
      <c r="H14" t="s">
        <v>8</v>
      </c>
      <c r="I14" s="2" t="s">
        <v>7</v>
      </c>
      <c r="J14" s="3" t="s">
        <v>7</v>
      </c>
    </row>
    <row r="15" spans="2:19" x14ac:dyDescent="0.3">
      <c r="B15" t="s">
        <v>13</v>
      </c>
      <c r="C15" t="s">
        <v>8</v>
      </c>
      <c r="D15" s="4" t="s">
        <v>14</v>
      </c>
      <c r="E15">
        <v>3</v>
      </c>
      <c r="G15" t="s">
        <v>9</v>
      </c>
      <c r="H15" t="s">
        <v>8</v>
      </c>
      <c r="I15" s="4" t="s">
        <v>36</v>
      </c>
      <c r="J15" s="5" t="s">
        <v>37</v>
      </c>
    </row>
    <row r="16" spans="2:19" x14ac:dyDescent="0.3">
      <c r="B16" t="s">
        <v>13</v>
      </c>
      <c r="C16" t="s">
        <v>8</v>
      </c>
      <c r="D16" s="2" t="s">
        <v>17</v>
      </c>
      <c r="E16">
        <v>1</v>
      </c>
      <c r="G16" t="s">
        <v>9</v>
      </c>
      <c r="H16" t="s">
        <v>8</v>
      </c>
      <c r="I16" s="2" t="s">
        <v>36</v>
      </c>
      <c r="J16" s="3" t="s">
        <v>38</v>
      </c>
    </row>
    <row r="17" spans="2:10" x14ac:dyDescent="0.3">
      <c r="B17" t="s">
        <v>13</v>
      </c>
      <c r="C17" t="s">
        <v>8</v>
      </c>
      <c r="D17" s="4" t="s">
        <v>15</v>
      </c>
      <c r="E17">
        <v>2</v>
      </c>
      <c r="G17" t="s">
        <v>9</v>
      </c>
      <c r="H17" t="s">
        <v>8</v>
      </c>
      <c r="I17" s="4" t="s">
        <v>36</v>
      </c>
      <c r="J17" s="5" t="s">
        <v>39</v>
      </c>
    </row>
    <row r="18" spans="2:10" x14ac:dyDescent="0.3">
      <c r="B18" t="s">
        <v>13</v>
      </c>
      <c r="C18" t="s">
        <v>8</v>
      </c>
      <c r="D18" s="4" t="s">
        <v>16</v>
      </c>
      <c r="E18">
        <v>2</v>
      </c>
      <c r="G18" t="s">
        <v>9</v>
      </c>
      <c r="H18" t="s">
        <v>8</v>
      </c>
      <c r="I18" s="2" t="s">
        <v>40</v>
      </c>
      <c r="J18" s="3" t="s">
        <v>104</v>
      </c>
    </row>
    <row r="19" spans="2:10" x14ac:dyDescent="0.3">
      <c r="B19" t="s">
        <v>13</v>
      </c>
      <c r="C19" t="s">
        <v>8</v>
      </c>
      <c r="D19" s="2" t="s">
        <v>18</v>
      </c>
      <c r="E19">
        <v>2</v>
      </c>
      <c r="G19" t="s">
        <v>9</v>
      </c>
      <c r="H19" t="s">
        <v>8</v>
      </c>
      <c r="I19" s="4" t="s">
        <v>41</v>
      </c>
      <c r="J19" s="5" t="s">
        <v>42</v>
      </c>
    </row>
    <row r="20" spans="2:10" x14ac:dyDescent="0.3">
      <c r="B20" t="s">
        <v>13</v>
      </c>
      <c r="C20" t="s">
        <v>8</v>
      </c>
      <c r="D20" s="4" t="s">
        <v>19</v>
      </c>
      <c r="E20">
        <v>1</v>
      </c>
      <c r="G20" t="s">
        <v>9</v>
      </c>
      <c r="H20" t="s">
        <v>8</v>
      </c>
      <c r="I20" s="2" t="s">
        <v>41</v>
      </c>
      <c r="J20" s="3" t="s">
        <v>43</v>
      </c>
    </row>
    <row r="21" spans="2:10" x14ac:dyDescent="0.3">
      <c r="B21" t="s">
        <v>13</v>
      </c>
      <c r="C21" t="s">
        <v>8</v>
      </c>
      <c r="D21" s="2" t="s">
        <v>20</v>
      </c>
      <c r="E21">
        <v>1</v>
      </c>
      <c r="G21" t="s">
        <v>9</v>
      </c>
      <c r="H21" t="s">
        <v>8</v>
      </c>
      <c r="I21" s="4" t="s">
        <v>11</v>
      </c>
      <c r="J21" s="5" t="s">
        <v>11</v>
      </c>
    </row>
    <row r="22" spans="2:10" x14ac:dyDescent="0.3">
      <c r="B22" t="s">
        <v>21</v>
      </c>
      <c r="C22" t="s">
        <v>8</v>
      </c>
      <c r="D22" t="s">
        <v>22</v>
      </c>
      <c r="E22">
        <v>1</v>
      </c>
      <c r="G22" t="s">
        <v>9</v>
      </c>
      <c r="H22" t="s">
        <v>8</v>
      </c>
      <c r="I22" s="2" t="s">
        <v>12</v>
      </c>
      <c r="J22" s="3" t="s">
        <v>12</v>
      </c>
    </row>
    <row r="23" spans="2:10" x14ac:dyDescent="0.3">
      <c r="B23" t="s">
        <v>21</v>
      </c>
      <c r="C23" t="s">
        <v>8</v>
      </c>
      <c r="D23" t="s">
        <v>23</v>
      </c>
      <c r="E23">
        <v>1</v>
      </c>
      <c r="G23" t="s">
        <v>13</v>
      </c>
      <c r="H23" t="s">
        <v>8</v>
      </c>
      <c r="I23" s="4" t="s">
        <v>14</v>
      </c>
      <c r="J23" s="5" t="s">
        <v>46</v>
      </c>
    </row>
    <row r="24" spans="2:10" x14ac:dyDescent="0.3">
      <c r="B24" t="s">
        <v>21</v>
      </c>
      <c r="C24" t="s">
        <v>8</v>
      </c>
      <c r="D24" t="s">
        <v>25</v>
      </c>
      <c r="E24">
        <v>2</v>
      </c>
      <c r="G24" t="s">
        <v>13</v>
      </c>
      <c r="H24" t="s">
        <v>8</v>
      </c>
      <c r="I24" s="2" t="s">
        <v>14</v>
      </c>
      <c r="J24" s="3" t="s">
        <v>44</v>
      </c>
    </row>
    <row r="25" spans="2:10" x14ac:dyDescent="0.3">
      <c r="B25" t="s">
        <v>21</v>
      </c>
      <c r="C25" t="s">
        <v>8</v>
      </c>
      <c r="D25" t="s">
        <v>24</v>
      </c>
      <c r="E25">
        <v>1</v>
      </c>
      <c r="G25" t="s">
        <v>13</v>
      </c>
      <c r="H25" t="s">
        <v>8</v>
      </c>
      <c r="I25" s="4" t="s">
        <v>14</v>
      </c>
      <c r="J25" s="5" t="s">
        <v>45</v>
      </c>
    </row>
    <row r="26" spans="2:10" x14ac:dyDescent="0.3">
      <c r="B26" t="s">
        <v>26</v>
      </c>
      <c r="C26" t="s">
        <v>8</v>
      </c>
      <c r="D26" s="4" t="s">
        <v>27</v>
      </c>
      <c r="E26">
        <v>4</v>
      </c>
      <c r="G26" t="s">
        <v>13</v>
      </c>
      <c r="H26" t="s">
        <v>8</v>
      </c>
      <c r="I26" s="2" t="s">
        <v>17</v>
      </c>
      <c r="J26" s="3" t="s">
        <v>67</v>
      </c>
    </row>
    <row r="27" spans="2:10" x14ac:dyDescent="0.3">
      <c r="G27" t="s">
        <v>13</v>
      </c>
      <c r="H27" t="s">
        <v>8</v>
      </c>
      <c r="I27" s="4" t="s">
        <v>15</v>
      </c>
      <c r="J27" s="5" t="s">
        <v>47</v>
      </c>
    </row>
    <row r="28" spans="2:10" x14ac:dyDescent="0.3">
      <c r="G28" t="s">
        <v>13</v>
      </c>
      <c r="H28" t="s">
        <v>8</v>
      </c>
      <c r="I28" s="2" t="s">
        <v>15</v>
      </c>
      <c r="J28" s="3" t="s">
        <v>48</v>
      </c>
    </row>
    <row r="29" spans="2:10" x14ac:dyDescent="0.3">
      <c r="E29">
        <f>SUM(Table1[Variant])</f>
        <v>38</v>
      </c>
      <c r="G29" t="s">
        <v>13</v>
      </c>
      <c r="H29" t="s">
        <v>8</v>
      </c>
      <c r="I29" s="4" t="s">
        <v>16</v>
      </c>
      <c r="J29" s="5" t="s">
        <v>105</v>
      </c>
    </row>
    <row r="30" spans="2:10" x14ac:dyDescent="0.3">
      <c r="G30" t="s">
        <v>13</v>
      </c>
      <c r="H30" t="s">
        <v>8</v>
      </c>
      <c r="I30" s="2" t="s">
        <v>16</v>
      </c>
      <c r="J30" s="3" t="s">
        <v>106</v>
      </c>
    </row>
    <row r="31" spans="2:10" x14ac:dyDescent="0.3">
      <c r="G31" t="s">
        <v>13</v>
      </c>
      <c r="H31" t="s">
        <v>8</v>
      </c>
      <c r="I31" s="2" t="s">
        <v>18</v>
      </c>
      <c r="J31" s="3" t="s">
        <v>49</v>
      </c>
    </row>
    <row r="32" spans="2:10" x14ac:dyDescent="0.3">
      <c r="G32" t="s">
        <v>13</v>
      </c>
      <c r="H32" t="s">
        <v>8</v>
      </c>
      <c r="I32" s="2" t="s">
        <v>18</v>
      </c>
      <c r="J32" s="3" t="s">
        <v>75</v>
      </c>
    </row>
    <row r="33" spans="7:10" x14ac:dyDescent="0.3">
      <c r="G33" t="s">
        <v>13</v>
      </c>
      <c r="H33" t="s">
        <v>8</v>
      </c>
      <c r="I33" s="4" t="s">
        <v>19</v>
      </c>
      <c r="J33" s="5" t="s">
        <v>19</v>
      </c>
    </row>
    <row r="34" spans="7:10" x14ac:dyDescent="0.3">
      <c r="G34" t="s">
        <v>13</v>
      </c>
      <c r="H34" t="s">
        <v>8</v>
      </c>
      <c r="I34" s="2" t="s">
        <v>20</v>
      </c>
      <c r="J34" s="3" t="s">
        <v>107</v>
      </c>
    </row>
    <row r="35" spans="7:10" x14ac:dyDescent="0.3">
      <c r="G35" t="s">
        <v>21</v>
      </c>
      <c r="H35" t="s">
        <v>8</v>
      </c>
      <c r="I35" t="s">
        <v>22</v>
      </c>
      <c r="J35" t="s">
        <v>22</v>
      </c>
    </row>
    <row r="36" spans="7:10" x14ac:dyDescent="0.3">
      <c r="G36" t="s">
        <v>21</v>
      </c>
      <c r="H36" t="s">
        <v>8</v>
      </c>
      <c r="I36" t="s">
        <v>23</v>
      </c>
      <c r="J36" t="s">
        <v>23</v>
      </c>
    </row>
    <row r="37" spans="7:10" x14ac:dyDescent="0.3">
      <c r="G37" t="s">
        <v>21</v>
      </c>
      <c r="H37" t="s">
        <v>8</v>
      </c>
      <c r="I37" t="s">
        <v>25</v>
      </c>
      <c r="J37" t="s">
        <v>77</v>
      </c>
    </row>
    <row r="38" spans="7:10" x14ac:dyDescent="0.3">
      <c r="G38" t="s">
        <v>21</v>
      </c>
      <c r="H38" t="s">
        <v>8</v>
      </c>
      <c r="I38" t="s">
        <v>25</v>
      </c>
      <c r="J38" t="s">
        <v>78</v>
      </c>
    </row>
    <row r="39" spans="7:10" x14ac:dyDescent="0.3">
      <c r="G39" t="s">
        <v>21</v>
      </c>
      <c r="H39" t="s">
        <v>8</v>
      </c>
      <c r="I39" t="s">
        <v>24</v>
      </c>
      <c r="J39" t="s">
        <v>76</v>
      </c>
    </row>
    <row r="40" spans="7:10" x14ac:dyDescent="0.3">
      <c r="G40" t="s">
        <v>50</v>
      </c>
      <c r="H40" t="s">
        <v>8</v>
      </c>
      <c r="I40" s="4" t="s">
        <v>27</v>
      </c>
      <c r="J40" s="4" t="s">
        <v>51</v>
      </c>
    </row>
    <row r="41" spans="7:10" x14ac:dyDescent="0.3">
      <c r="G41" t="s">
        <v>50</v>
      </c>
      <c r="H41" t="s">
        <v>8</v>
      </c>
      <c r="I41" s="2" t="s">
        <v>27</v>
      </c>
      <c r="J41" s="4" t="s">
        <v>52</v>
      </c>
    </row>
    <row r="42" spans="7:10" x14ac:dyDescent="0.3">
      <c r="G42" t="s">
        <v>50</v>
      </c>
      <c r="H42" t="s">
        <v>8</v>
      </c>
      <c r="I42" s="4" t="s">
        <v>27</v>
      </c>
      <c r="J42" s="4" t="s">
        <v>53</v>
      </c>
    </row>
    <row r="43" spans="7:10" x14ac:dyDescent="0.3">
      <c r="G43" t="s">
        <v>50</v>
      </c>
      <c r="H43" t="s">
        <v>8</v>
      </c>
      <c r="I43" s="2" t="s">
        <v>27</v>
      </c>
      <c r="J43" t="s">
        <v>54</v>
      </c>
    </row>
  </sheetData>
  <phoneticPr fontId="3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57FF-EA3F-419D-8ED0-0E17634EF6F0}">
  <dimension ref="B1:P77"/>
  <sheetViews>
    <sheetView topLeftCell="A16" zoomScale="87" workbookViewId="0">
      <selection activeCell="D79" sqref="D79"/>
    </sheetView>
  </sheetViews>
  <sheetFormatPr defaultRowHeight="14.4" x14ac:dyDescent="0.3"/>
  <cols>
    <col min="2" max="2" width="18.77734375" customWidth="1"/>
    <col min="3" max="3" width="17.77734375" customWidth="1"/>
    <col min="4" max="4" width="22.109375" customWidth="1"/>
    <col min="5" max="5" width="11.77734375" customWidth="1"/>
    <col min="6" max="6" width="26.77734375" customWidth="1"/>
    <col min="7" max="7" width="16.109375" customWidth="1"/>
    <col min="8" max="9" width="21.21875" customWidth="1"/>
    <col min="10" max="10" width="22" customWidth="1"/>
    <col min="11" max="11" width="19.88671875" customWidth="1"/>
    <col min="12" max="12" width="18.109375" customWidth="1"/>
    <col min="13" max="13" width="20.88671875" customWidth="1"/>
    <col min="14" max="14" width="28" customWidth="1"/>
    <col min="15" max="15" width="19.109375" customWidth="1"/>
    <col min="16" max="16" width="26.88671875" customWidth="1"/>
    <col min="17" max="17" width="15.5546875" customWidth="1"/>
  </cols>
  <sheetData>
    <row r="1" spans="2:16" x14ac:dyDescent="0.3">
      <c r="D1" s="6"/>
    </row>
    <row r="6" spans="2:16" ht="18" x14ac:dyDescent="0.35">
      <c r="B6" s="1" t="s">
        <v>2</v>
      </c>
      <c r="C6" s="1" t="s">
        <v>1</v>
      </c>
      <c r="D6" s="1" t="s">
        <v>10</v>
      </c>
      <c r="E6" s="1" t="s">
        <v>57</v>
      </c>
      <c r="F6" s="1" t="s">
        <v>56</v>
      </c>
      <c r="G6" s="1" t="s">
        <v>55</v>
      </c>
      <c r="H6" s="1" t="s">
        <v>58</v>
      </c>
      <c r="I6" s="1" t="s">
        <v>68</v>
      </c>
      <c r="J6" s="1" t="s">
        <v>61</v>
      </c>
      <c r="K6" s="1" t="s">
        <v>65</v>
      </c>
      <c r="L6" s="1" t="s">
        <v>66</v>
      </c>
      <c r="M6" s="1" t="s">
        <v>64</v>
      </c>
      <c r="N6" s="1" t="s">
        <v>79</v>
      </c>
      <c r="P6" s="1"/>
    </row>
    <row r="7" spans="2:16" x14ac:dyDescent="0.3">
      <c r="B7" s="2" t="s">
        <v>4</v>
      </c>
      <c r="C7" t="s">
        <v>8</v>
      </c>
      <c r="D7" s="3" t="s">
        <v>28</v>
      </c>
      <c r="E7">
        <v>123</v>
      </c>
      <c r="F7">
        <v>2.9</v>
      </c>
      <c r="G7" t="s">
        <v>59</v>
      </c>
      <c r="H7">
        <v>80</v>
      </c>
      <c r="I7" t="s">
        <v>60</v>
      </c>
      <c r="J7">
        <v>8.3000000000000007</v>
      </c>
      <c r="K7">
        <v>4.3</v>
      </c>
      <c r="L7">
        <v>125</v>
      </c>
      <c r="M7" t="s">
        <v>60</v>
      </c>
      <c r="N7">
        <v>34</v>
      </c>
    </row>
    <row r="8" spans="2:16" x14ac:dyDescent="0.3">
      <c r="B8" s="4" t="s">
        <v>4</v>
      </c>
      <c r="C8" t="s">
        <v>8</v>
      </c>
      <c r="D8" s="5" t="s">
        <v>29</v>
      </c>
      <c r="E8">
        <v>159</v>
      </c>
      <c r="F8">
        <v>3.7</v>
      </c>
      <c r="G8" t="s">
        <v>59</v>
      </c>
      <c r="H8">
        <v>80</v>
      </c>
      <c r="I8" t="s">
        <v>60</v>
      </c>
      <c r="J8">
        <v>6.1</v>
      </c>
      <c r="K8">
        <v>4.3</v>
      </c>
      <c r="L8">
        <v>125</v>
      </c>
      <c r="M8" t="s">
        <v>60</v>
      </c>
      <c r="N8">
        <v>34</v>
      </c>
    </row>
    <row r="9" spans="2:16" x14ac:dyDescent="0.3">
      <c r="B9" s="2" t="s">
        <v>4</v>
      </c>
      <c r="C9" t="s">
        <v>8</v>
      </c>
      <c r="D9" s="3" t="s">
        <v>30</v>
      </c>
      <c r="E9">
        <v>123</v>
      </c>
      <c r="F9">
        <v>2.9</v>
      </c>
      <c r="G9" t="s">
        <v>59</v>
      </c>
      <c r="H9">
        <v>80</v>
      </c>
      <c r="I9" t="s">
        <v>60</v>
      </c>
      <c r="J9">
        <v>8.3000000000000007</v>
      </c>
      <c r="K9">
        <v>4.3</v>
      </c>
      <c r="L9">
        <v>119</v>
      </c>
      <c r="M9" t="s">
        <v>62</v>
      </c>
      <c r="N9">
        <v>34</v>
      </c>
    </row>
    <row r="10" spans="2:16" x14ac:dyDescent="0.3">
      <c r="B10" s="4" t="s">
        <v>4</v>
      </c>
      <c r="C10" t="s">
        <v>8</v>
      </c>
      <c r="D10" s="5" t="s">
        <v>31</v>
      </c>
      <c r="E10">
        <v>159</v>
      </c>
      <c r="F10">
        <v>3.7</v>
      </c>
      <c r="G10" t="s">
        <v>59</v>
      </c>
      <c r="H10">
        <v>80</v>
      </c>
      <c r="I10" t="s">
        <v>60</v>
      </c>
      <c r="J10">
        <v>6.1</v>
      </c>
      <c r="K10">
        <v>4.3</v>
      </c>
      <c r="L10">
        <v>119</v>
      </c>
      <c r="M10" t="s">
        <v>62</v>
      </c>
      <c r="N10">
        <v>34</v>
      </c>
    </row>
    <row r="11" spans="2:16" x14ac:dyDescent="0.3">
      <c r="B11" s="2" t="s">
        <v>5</v>
      </c>
      <c r="C11" t="s">
        <v>8</v>
      </c>
      <c r="D11" s="3" t="s">
        <v>32</v>
      </c>
      <c r="E11">
        <v>122</v>
      </c>
      <c r="F11">
        <v>2.9</v>
      </c>
      <c r="G11" t="s">
        <v>59</v>
      </c>
      <c r="H11">
        <v>90</v>
      </c>
      <c r="I11" t="s">
        <v>60</v>
      </c>
      <c r="J11">
        <v>7.45</v>
      </c>
      <c r="K11">
        <v>5.4</v>
      </c>
      <c r="L11">
        <v>108</v>
      </c>
      <c r="M11" t="s">
        <v>60</v>
      </c>
      <c r="N11">
        <v>21</v>
      </c>
    </row>
    <row r="12" spans="2:16" x14ac:dyDescent="0.3">
      <c r="B12" s="4" t="s">
        <v>5</v>
      </c>
      <c r="C12" t="s">
        <v>8</v>
      </c>
      <c r="D12" s="5" t="s">
        <v>33</v>
      </c>
      <c r="E12">
        <v>161</v>
      </c>
      <c r="F12">
        <v>3.7</v>
      </c>
      <c r="G12" t="s">
        <v>59</v>
      </c>
      <c r="H12">
        <v>90</v>
      </c>
      <c r="I12" t="s">
        <v>60</v>
      </c>
      <c r="J12">
        <v>5.45</v>
      </c>
      <c r="K12">
        <v>5.4</v>
      </c>
      <c r="L12">
        <v>108</v>
      </c>
      <c r="M12" t="s">
        <v>60</v>
      </c>
      <c r="N12">
        <v>21</v>
      </c>
    </row>
    <row r="13" spans="2:16" x14ac:dyDescent="0.3">
      <c r="B13" s="2" t="s">
        <v>6</v>
      </c>
      <c r="C13" t="s">
        <v>8</v>
      </c>
      <c r="D13" s="3" t="s">
        <v>34</v>
      </c>
      <c r="E13">
        <v>126</v>
      </c>
      <c r="F13">
        <v>2.9</v>
      </c>
      <c r="G13" t="s">
        <v>59</v>
      </c>
      <c r="H13">
        <v>90</v>
      </c>
      <c r="I13" t="s">
        <v>62</v>
      </c>
      <c r="J13">
        <v>4.3</v>
      </c>
      <c r="K13">
        <v>6.4</v>
      </c>
      <c r="L13">
        <v>111</v>
      </c>
      <c r="M13" t="s">
        <v>62</v>
      </c>
      <c r="N13">
        <v>21</v>
      </c>
    </row>
    <row r="14" spans="2:16" x14ac:dyDescent="0.3">
      <c r="B14" s="4" t="s">
        <v>6</v>
      </c>
      <c r="C14" t="s">
        <v>8</v>
      </c>
      <c r="D14" s="5" t="s">
        <v>35</v>
      </c>
      <c r="E14">
        <v>161</v>
      </c>
      <c r="F14">
        <v>3.7</v>
      </c>
      <c r="G14" t="s">
        <v>59</v>
      </c>
      <c r="H14">
        <v>90</v>
      </c>
      <c r="I14" t="s">
        <v>62</v>
      </c>
      <c r="J14">
        <v>5.45</v>
      </c>
      <c r="K14">
        <v>6.4</v>
      </c>
      <c r="L14">
        <v>111</v>
      </c>
      <c r="M14" t="s">
        <v>62</v>
      </c>
      <c r="N14">
        <v>21</v>
      </c>
    </row>
    <row r="15" spans="2:16" x14ac:dyDescent="0.3">
      <c r="B15" s="2" t="s">
        <v>7</v>
      </c>
      <c r="C15" t="s">
        <v>8</v>
      </c>
      <c r="D15" s="3" t="s">
        <v>7</v>
      </c>
      <c r="E15">
        <v>157</v>
      </c>
      <c r="F15">
        <v>3.7</v>
      </c>
      <c r="G15" t="s">
        <v>59</v>
      </c>
      <c r="H15">
        <v>100</v>
      </c>
      <c r="I15" t="s">
        <v>62</v>
      </c>
      <c r="J15">
        <v>5.45</v>
      </c>
      <c r="K15">
        <v>7</v>
      </c>
      <c r="L15">
        <v>111</v>
      </c>
      <c r="M15" t="s">
        <v>62</v>
      </c>
      <c r="N15">
        <v>21</v>
      </c>
    </row>
    <row r="22" spans="2:16" ht="18" x14ac:dyDescent="0.35">
      <c r="B22" s="1" t="s">
        <v>2</v>
      </c>
      <c r="C22" s="1" t="s">
        <v>1</v>
      </c>
      <c r="D22" s="1" t="s">
        <v>10</v>
      </c>
      <c r="E22" s="1" t="s">
        <v>57</v>
      </c>
      <c r="F22" s="1" t="s">
        <v>56</v>
      </c>
      <c r="G22" s="1" t="s">
        <v>55</v>
      </c>
      <c r="H22" s="1" t="s">
        <v>58</v>
      </c>
      <c r="I22" s="1" t="s">
        <v>68</v>
      </c>
      <c r="J22" s="1" t="s">
        <v>61</v>
      </c>
      <c r="K22" s="1" t="s">
        <v>65</v>
      </c>
      <c r="L22" s="1" t="s">
        <v>66</v>
      </c>
      <c r="M22" s="1" t="s">
        <v>64</v>
      </c>
      <c r="N22" s="1" t="s">
        <v>79</v>
      </c>
      <c r="P22" s="1"/>
    </row>
    <row r="23" spans="2:16" x14ac:dyDescent="0.3">
      <c r="B23" s="4" t="s">
        <v>36</v>
      </c>
      <c r="C23" t="s">
        <v>8</v>
      </c>
      <c r="D23" s="5" t="s">
        <v>37</v>
      </c>
      <c r="E23">
        <v>94</v>
      </c>
      <c r="F23">
        <v>2.2000000000000002</v>
      </c>
      <c r="G23" t="s">
        <v>59</v>
      </c>
      <c r="H23">
        <v>75</v>
      </c>
      <c r="I23" t="s">
        <v>60</v>
      </c>
      <c r="J23">
        <v>3</v>
      </c>
      <c r="K23">
        <v>4.4000000000000004</v>
      </c>
      <c r="L23">
        <v>110</v>
      </c>
      <c r="M23" t="s">
        <v>60</v>
      </c>
      <c r="N23">
        <v>30</v>
      </c>
    </row>
    <row r="24" spans="2:16" x14ac:dyDescent="0.3">
      <c r="B24" s="2" t="s">
        <v>36</v>
      </c>
      <c r="C24" t="s">
        <v>8</v>
      </c>
      <c r="D24" s="3" t="s">
        <v>38</v>
      </c>
      <c r="E24">
        <v>123</v>
      </c>
      <c r="F24">
        <v>3.1</v>
      </c>
      <c r="G24" t="s">
        <v>59</v>
      </c>
      <c r="H24">
        <v>82</v>
      </c>
      <c r="I24" t="s">
        <v>60</v>
      </c>
      <c r="J24">
        <v>4.3</v>
      </c>
      <c r="K24">
        <v>4.4000000000000004</v>
      </c>
      <c r="L24">
        <v>116.8</v>
      </c>
      <c r="M24" t="s">
        <v>60</v>
      </c>
      <c r="N24">
        <v>32</v>
      </c>
    </row>
    <row r="25" spans="2:16" x14ac:dyDescent="0.3">
      <c r="B25" s="4" t="s">
        <v>36</v>
      </c>
      <c r="C25" t="s">
        <v>8</v>
      </c>
      <c r="D25" s="5" t="s">
        <v>39</v>
      </c>
      <c r="E25">
        <v>145</v>
      </c>
      <c r="F25">
        <v>3.5</v>
      </c>
      <c r="G25" t="s">
        <v>59</v>
      </c>
      <c r="H25">
        <v>78</v>
      </c>
      <c r="I25" t="s">
        <v>60</v>
      </c>
      <c r="J25">
        <v>5</v>
      </c>
      <c r="K25">
        <v>4.4000000000000004</v>
      </c>
      <c r="L25">
        <v>119.1</v>
      </c>
      <c r="M25" t="s">
        <v>60</v>
      </c>
      <c r="N25">
        <v>32</v>
      </c>
    </row>
    <row r="26" spans="2:16" x14ac:dyDescent="0.3">
      <c r="B26" s="2" t="s">
        <v>40</v>
      </c>
      <c r="C26" t="s">
        <v>8</v>
      </c>
      <c r="D26" s="3" t="s">
        <v>104</v>
      </c>
      <c r="E26">
        <v>145</v>
      </c>
      <c r="F26">
        <v>3.5</v>
      </c>
      <c r="G26" t="s">
        <v>59</v>
      </c>
      <c r="H26">
        <v>78</v>
      </c>
      <c r="I26" t="s">
        <v>60</v>
      </c>
      <c r="J26">
        <v>3.3</v>
      </c>
      <c r="K26">
        <v>4.4000000000000004</v>
      </c>
      <c r="L26">
        <v>118.6</v>
      </c>
      <c r="M26" t="s">
        <v>60</v>
      </c>
      <c r="N26">
        <v>32</v>
      </c>
    </row>
    <row r="27" spans="2:16" x14ac:dyDescent="0.3">
      <c r="B27" s="4" t="s">
        <v>41</v>
      </c>
      <c r="C27" t="s">
        <v>8</v>
      </c>
      <c r="D27" s="5" t="s">
        <v>42</v>
      </c>
      <c r="E27">
        <v>145</v>
      </c>
      <c r="F27">
        <v>3.5</v>
      </c>
      <c r="G27" t="s">
        <v>59</v>
      </c>
      <c r="H27">
        <v>78</v>
      </c>
      <c r="I27" t="s">
        <v>62</v>
      </c>
      <c r="J27">
        <v>3.3</v>
      </c>
      <c r="K27">
        <v>4.4000000000000004</v>
      </c>
      <c r="L27">
        <v>119</v>
      </c>
      <c r="M27" t="s">
        <v>62</v>
      </c>
      <c r="N27">
        <v>32</v>
      </c>
    </row>
    <row r="28" spans="2:16" x14ac:dyDescent="0.3">
      <c r="B28" s="2" t="s">
        <v>41</v>
      </c>
      <c r="C28" t="s">
        <v>8</v>
      </c>
      <c r="D28" s="3" t="s">
        <v>43</v>
      </c>
      <c r="E28">
        <v>212</v>
      </c>
      <c r="F28">
        <v>5.3</v>
      </c>
      <c r="G28" t="s">
        <v>59</v>
      </c>
      <c r="H28">
        <v>82</v>
      </c>
      <c r="I28" t="s">
        <v>62</v>
      </c>
      <c r="J28">
        <v>7</v>
      </c>
      <c r="K28">
        <v>4.4000000000000004</v>
      </c>
      <c r="L28">
        <v>132</v>
      </c>
      <c r="M28" t="s">
        <v>62</v>
      </c>
      <c r="N28">
        <v>32</v>
      </c>
    </row>
    <row r="29" spans="2:16" x14ac:dyDescent="0.3">
      <c r="B29" s="4" t="s">
        <v>11</v>
      </c>
      <c r="C29" t="s">
        <v>8</v>
      </c>
      <c r="D29" s="5" t="s">
        <v>11</v>
      </c>
      <c r="E29">
        <v>140</v>
      </c>
      <c r="F29">
        <v>3.8</v>
      </c>
      <c r="G29" t="s">
        <v>59</v>
      </c>
      <c r="H29">
        <v>105</v>
      </c>
      <c r="I29" t="s">
        <v>62</v>
      </c>
      <c r="J29">
        <v>6</v>
      </c>
      <c r="K29">
        <v>11.7</v>
      </c>
      <c r="L29">
        <v>138</v>
      </c>
      <c r="M29" t="s">
        <v>62</v>
      </c>
      <c r="N29">
        <v>32</v>
      </c>
    </row>
    <row r="30" spans="2:16" x14ac:dyDescent="0.3">
      <c r="B30" s="2" t="s">
        <v>12</v>
      </c>
      <c r="C30" t="s">
        <v>8</v>
      </c>
      <c r="D30" s="3" t="s">
        <v>12</v>
      </c>
      <c r="E30">
        <v>158</v>
      </c>
      <c r="F30">
        <v>3.1</v>
      </c>
      <c r="G30" t="s">
        <v>59</v>
      </c>
      <c r="H30">
        <v>68</v>
      </c>
      <c r="I30" t="s">
        <v>60</v>
      </c>
      <c r="J30">
        <v>4</v>
      </c>
      <c r="K30">
        <v>2.5</v>
      </c>
      <c r="L30">
        <v>112</v>
      </c>
      <c r="M30" t="s">
        <v>60</v>
      </c>
      <c r="N30">
        <v>32</v>
      </c>
    </row>
    <row r="37" spans="2:16" ht="18" x14ac:dyDescent="0.35">
      <c r="B37" s="1" t="s">
        <v>2</v>
      </c>
      <c r="C37" s="1" t="s">
        <v>1</v>
      </c>
      <c r="D37" s="1" t="s">
        <v>10</v>
      </c>
      <c r="E37" s="1" t="s">
        <v>57</v>
      </c>
      <c r="F37" s="1" t="s">
        <v>56</v>
      </c>
      <c r="G37" s="1" t="s">
        <v>55</v>
      </c>
      <c r="H37" s="1" t="s">
        <v>58</v>
      </c>
      <c r="I37" s="1" t="s">
        <v>68</v>
      </c>
      <c r="J37" s="1" t="s">
        <v>61</v>
      </c>
      <c r="K37" s="1" t="s">
        <v>65</v>
      </c>
      <c r="L37" s="1" t="s">
        <v>66</v>
      </c>
      <c r="M37" s="1" t="s">
        <v>64</v>
      </c>
      <c r="N37" s="1" t="s">
        <v>79</v>
      </c>
      <c r="P37" s="1"/>
    </row>
    <row r="38" spans="2:16" x14ac:dyDescent="0.3">
      <c r="B38" s="4" t="s">
        <v>14</v>
      </c>
      <c r="C38" t="s">
        <v>8</v>
      </c>
      <c r="D38" s="5" t="s">
        <v>46</v>
      </c>
      <c r="E38">
        <v>108</v>
      </c>
      <c r="F38">
        <v>2</v>
      </c>
      <c r="G38" t="s">
        <v>59</v>
      </c>
      <c r="H38">
        <v>101</v>
      </c>
      <c r="I38" t="s">
        <v>60</v>
      </c>
      <c r="J38">
        <v>5</v>
      </c>
      <c r="K38">
        <v>5.5</v>
      </c>
      <c r="L38">
        <v>105</v>
      </c>
      <c r="M38" t="s">
        <v>60</v>
      </c>
      <c r="N38">
        <v>34</v>
      </c>
    </row>
    <row r="39" spans="2:16" x14ac:dyDescent="0.3">
      <c r="B39" s="2" t="s">
        <v>14</v>
      </c>
      <c r="C39" t="s">
        <v>8</v>
      </c>
      <c r="D39" s="3" t="s">
        <v>44</v>
      </c>
      <c r="E39">
        <v>176</v>
      </c>
      <c r="F39">
        <v>3</v>
      </c>
      <c r="G39" t="s">
        <v>59</v>
      </c>
      <c r="H39">
        <v>115</v>
      </c>
      <c r="I39" t="s">
        <v>60</v>
      </c>
      <c r="J39">
        <v>7.4</v>
      </c>
      <c r="K39">
        <v>5.5</v>
      </c>
      <c r="L39">
        <v>109</v>
      </c>
      <c r="M39" t="s">
        <v>60</v>
      </c>
      <c r="N39">
        <v>34</v>
      </c>
    </row>
    <row r="40" spans="2:16" x14ac:dyDescent="0.3">
      <c r="B40" s="4" t="s">
        <v>14</v>
      </c>
      <c r="C40" t="s">
        <v>8</v>
      </c>
      <c r="D40" s="5" t="s">
        <v>45</v>
      </c>
      <c r="E40">
        <v>242</v>
      </c>
      <c r="F40">
        <v>4</v>
      </c>
      <c r="G40" t="s">
        <v>59</v>
      </c>
      <c r="H40">
        <v>123</v>
      </c>
      <c r="I40" t="s">
        <v>60</v>
      </c>
      <c r="J40">
        <v>6.5</v>
      </c>
      <c r="K40">
        <v>5.5</v>
      </c>
      <c r="L40">
        <v>113</v>
      </c>
      <c r="M40" t="s">
        <v>60</v>
      </c>
      <c r="N40">
        <v>34</v>
      </c>
    </row>
    <row r="41" spans="2:16" x14ac:dyDescent="0.3">
      <c r="B41" s="2" t="s">
        <v>17</v>
      </c>
      <c r="C41" t="s">
        <v>8</v>
      </c>
      <c r="D41" s="3" t="s">
        <v>67</v>
      </c>
      <c r="E41">
        <v>242</v>
      </c>
      <c r="F41">
        <v>4</v>
      </c>
      <c r="G41" t="s">
        <v>59</v>
      </c>
      <c r="H41">
        <v>125</v>
      </c>
      <c r="I41" t="s">
        <v>62</v>
      </c>
      <c r="J41">
        <v>7.4</v>
      </c>
      <c r="K41">
        <v>5.5</v>
      </c>
      <c r="L41">
        <v>113</v>
      </c>
      <c r="M41" t="s">
        <v>62</v>
      </c>
      <c r="N41">
        <v>34</v>
      </c>
    </row>
    <row r="42" spans="2:16" x14ac:dyDescent="0.3">
      <c r="B42" s="4" t="s">
        <v>15</v>
      </c>
      <c r="C42" t="s">
        <v>8</v>
      </c>
      <c r="D42" s="5" t="s">
        <v>47</v>
      </c>
      <c r="E42">
        <v>176</v>
      </c>
      <c r="F42">
        <v>3</v>
      </c>
      <c r="G42" t="s">
        <v>59</v>
      </c>
      <c r="H42">
        <v>117</v>
      </c>
      <c r="I42" t="s">
        <v>62</v>
      </c>
      <c r="J42">
        <v>6.5</v>
      </c>
      <c r="K42">
        <v>11</v>
      </c>
      <c r="L42">
        <v>109</v>
      </c>
      <c r="M42" t="s">
        <v>62</v>
      </c>
      <c r="N42">
        <v>34</v>
      </c>
    </row>
    <row r="43" spans="2:16" x14ac:dyDescent="0.3">
      <c r="B43" s="2" t="s">
        <v>15</v>
      </c>
      <c r="C43" t="s">
        <v>8</v>
      </c>
      <c r="D43" s="3" t="s">
        <v>48</v>
      </c>
      <c r="E43">
        <v>242</v>
      </c>
      <c r="F43">
        <v>4</v>
      </c>
      <c r="G43" t="s">
        <v>59</v>
      </c>
      <c r="H43">
        <v>125</v>
      </c>
      <c r="I43" t="s">
        <v>62</v>
      </c>
      <c r="J43">
        <v>6.5</v>
      </c>
      <c r="K43">
        <v>11</v>
      </c>
      <c r="L43">
        <v>113</v>
      </c>
      <c r="M43" t="s">
        <v>62</v>
      </c>
      <c r="N43">
        <v>34</v>
      </c>
    </row>
    <row r="44" spans="2:16" x14ac:dyDescent="0.3">
      <c r="B44" s="4" t="s">
        <v>16</v>
      </c>
      <c r="C44" t="s">
        <v>8</v>
      </c>
      <c r="D44" s="5" t="s">
        <v>105</v>
      </c>
      <c r="E44">
        <v>242</v>
      </c>
      <c r="F44">
        <v>4</v>
      </c>
      <c r="G44" t="s">
        <v>59</v>
      </c>
      <c r="H44">
        <v>128</v>
      </c>
      <c r="I44" t="s">
        <v>62</v>
      </c>
      <c r="J44">
        <v>6.5</v>
      </c>
      <c r="K44">
        <v>13</v>
      </c>
      <c r="L44">
        <v>116</v>
      </c>
      <c r="M44" t="s">
        <v>62</v>
      </c>
      <c r="N44">
        <v>34</v>
      </c>
    </row>
    <row r="45" spans="2:16" x14ac:dyDescent="0.3">
      <c r="B45" s="2" t="s">
        <v>16</v>
      </c>
      <c r="C45" t="s">
        <v>8</v>
      </c>
      <c r="D45" s="3" t="s">
        <v>106</v>
      </c>
      <c r="E45">
        <v>320</v>
      </c>
      <c r="F45">
        <v>5.2</v>
      </c>
      <c r="G45" t="s">
        <v>59</v>
      </c>
      <c r="H45">
        <v>130</v>
      </c>
      <c r="I45" t="s">
        <v>62</v>
      </c>
      <c r="J45">
        <v>6.5</v>
      </c>
      <c r="K45">
        <v>13</v>
      </c>
      <c r="L45">
        <v>118</v>
      </c>
      <c r="M45" t="s">
        <v>62</v>
      </c>
      <c r="N45">
        <v>34</v>
      </c>
    </row>
    <row r="46" spans="2:16" x14ac:dyDescent="0.3">
      <c r="B46" s="2" t="s">
        <v>18</v>
      </c>
      <c r="C46" t="s">
        <v>8</v>
      </c>
      <c r="D46" s="3" t="s">
        <v>49</v>
      </c>
      <c r="E46">
        <v>320</v>
      </c>
      <c r="F46">
        <v>5.2</v>
      </c>
      <c r="G46" t="s">
        <v>59</v>
      </c>
      <c r="H46">
        <v>152</v>
      </c>
      <c r="I46" t="s">
        <v>62</v>
      </c>
      <c r="J46">
        <v>7</v>
      </c>
      <c r="K46">
        <v>16</v>
      </c>
      <c r="L46">
        <v>118</v>
      </c>
      <c r="M46" t="s">
        <v>62</v>
      </c>
      <c r="N46">
        <v>34</v>
      </c>
    </row>
    <row r="47" spans="2:16" x14ac:dyDescent="0.3">
      <c r="B47" s="2" t="s">
        <v>18</v>
      </c>
      <c r="C47" t="s">
        <v>8</v>
      </c>
      <c r="D47" s="3" t="s">
        <v>75</v>
      </c>
      <c r="E47">
        <v>320</v>
      </c>
      <c r="F47">
        <v>4</v>
      </c>
      <c r="G47" t="s">
        <v>59</v>
      </c>
      <c r="H47">
        <v>152</v>
      </c>
      <c r="I47" t="s">
        <v>62</v>
      </c>
      <c r="J47">
        <v>6.5</v>
      </c>
      <c r="K47">
        <v>16</v>
      </c>
      <c r="L47">
        <v>118</v>
      </c>
      <c r="M47" t="s">
        <v>62</v>
      </c>
      <c r="N47">
        <v>34</v>
      </c>
    </row>
    <row r="48" spans="2:16" x14ac:dyDescent="0.3">
      <c r="B48" s="4" t="s">
        <v>19</v>
      </c>
      <c r="C48" t="s">
        <v>8</v>
      </c>
      <c r="D48" s="5" t="s">
        <v>19</v>
      </c>
      <c r="E48">
        <v>146</v>
      </c>
      <c r="F48">
        <v>3</v>
      </c>
      <c r="G48" t="s">
        <v>59</v>
      </c>
      <c r="H48">
        <v>70</v>
      </c>
      <c r="I48" t="s">
        <v>60</v>
      </c>
      <c r="J48">
        <v>4.5</v>
      </c>
      <c r="K48">
        <v>3</v>
      </c>
      <c r="L48">
        <v>121</v>
      </c>
      <c r="M48" t="s">
        <v>60</v>
      </c>
      <c r="N48">
        <v>34</v>
      </c>
    </row>
    <row r="49" spans="2:14" x14ac:dyDescent="0.3">
      <c r="B49" s="2" t="s">
        <v>20</v>
      </c>
      <c r="C49" t="s">
        <v>8</v>
      </c>
      <c r="D49" s="3" t="s">
        <v>107</v>
      </c>
      <c r="E49">
        <v>146</v>
      </c>
      <c r="F49">
        <v>3</v>
      </c>
      <c r="G49" t="s">
        <v>59</v>
      </c>
      <c r="H49">
        <v>70</v>
      </c>
      <c r="I49" t="s">
        <v>60</v>
      </c>
      <c r="J49">
        <v>4.5</v>
      </c>
      <c r="K49">
        <v>3</v>
      </c>
      <c r="L49">
        <v>125</v>
      </c>
      <c r="M49" t="s">
        <v>60</v>
      </c>
      <c r="N49">
        <v>34</v>
      </c>
    </row>
    <row r="50" spans="2:14" x14ac:dyDescent="0.3">
      <c r="B50" s="2"/>
      <c r="D50" s="3"/>
    </row>
    <row r="51" spans="2:14" x14ac:dyDescent="0.3">
      <c r="B51" s="4"/>
      <c r="D51" s="5"/>
    </row>
    <row r="52" spans="2:14" x14ac:dyDescent="0.3">
      <c r="B52" s="2"/>
      <c r="D52" s="3"/>
    </row>
    <row r="53" spans="2:14" x14ac:dyDescent="0.3">
      <c r="B53" s="4"/>
      <c r="D53" s="5"/>
    </row>
    <row r="54" spans="2:14" x14ac:dyDescent="0.3">
      <c r="B54" s="2"/>
      <c r="D54" s="3"/>
    </row>
    <row r="55" spans="2:14" x14ac:dyDescent="0.3">
      <c r="B55" s="4"/>
      <c r="D55" s="5"/>
    </row>
    <row r="56" spans="2:14" x14ac:dyDescent="0.3">
      <c r="B56" s="2"/>
      <c r="D56" s="3"/>
    </row>
    <row r="57" spans="2:14" x14ac:dyDescent="0.3">
      <c r="B57" s="4"/>
      <c r="D57" s="5"/>
    </row>
    <row r="58" spans="2:14" x14ac:dyDescent="0.3">
      <c r="B58" s="2"/>
      <c r="D58" s="3"/>
    </row>
    <row r="62" spans="2:14" ht="18" x14ac:dyDescent="0.35">
      <c r="B62" s="1" t="s">
        <v>2</v>
      </c>
      <c r="C62" s="1" t="s">
        <v>1</v>
      </c>
      <c r="D62" s="1" t="s">
        <v>10</v>
      </c>
      <c r="E62" s="1" t="s">
        <v>57</v>
      </c>
      <c r="F62" s="1" t="s">
        <v>56</v>
      </c>
      <c r="G62" s="1" t="s">
        <v>55</v>
      </c>
      <c r="H62" s="1" t="s">
        <v>58</v>
      </c>
      <c r="I62" s="1" t="s">
        <v>68</v>
      </c>
      <c r="J62" s="1" t="s">
        <v>61</v>
      </c>
      <c r="K62" s="1" t="s">
        <v>65</v>
      </c>
      <c r="L62" s="1" t="s">
        <v>66</v>
      </c>
      <c r="M62" s="1" t="s">
        <v>64</v>
      </c>
      <c r="N62" s="1" t="s">
        <v>79</v>
      </c>
    </row>
    <row r="63" spans="2:14" x14ac:dyDescent="0.3">
      <c r="B63" t="s">
        <v>22</v>
      </c>
      <c r="C63" t="s">
        <v>8</v>
      </c>
      <c r="D63" t="s">
        <v>22</v>
      </c>
      <c r="E63">
        <v>165</v>
      </c>
      <c r="F63">
        <v>3.94</v>
      </c>
      <c r="G63" t="s">
        <v>59</v>
      </c>
      <c r="H63">
        <v>90</v>
      </c>
      <c r="I63" t="s">
        <v>60</v>
      </c>
      <c r="J63">
        <v>6</v>
      </c>
      <c r="K63">
        <v>6</v>
      </c>
      <c r="L63">
        <v>125</v>
      </c>
      <c r="M63" t="s">
        <v>60</v>
      </c>
      <c r="N63">
        <v>26</v>
      </c>
    </row>
    <row r="64" spans="2:14" x14ac:dyDescent="0.3">
      <c r="B64" t="s">
        <v>23</v>
      </c>
      <c r="C64" t="s">
        <v>8</v>
      </c>
      <c r="D64" t="s">
        <v>23</v>
      </c>
      <c r="E64">
        <v>143</v>
      </c>
      <c r="F64">
        <v>3.44</v>
      </c>
      <c r="G64" t="s">
        <v>59</v>
      </c>
      <c r="H64">
        <v>85</v>
      </c>
      <c r="I64" t="s">
        <v>60</v>
      </c>
      <c r="J64">
        <v>5.3</v>
      </c>
      <c r="K64">
        <v>6</v>
      </c>
      <c r="L64">
        <v>124</v>
      </c>
      <c r="M64" t="s">
        <v>60</v>
      </c>
      <c r="N64">
        <v>26</v>
      </c>
    </row>
    <row r="65" spans="2:14" x14ac:dyDescent="0.3">
      <c r="B65" t="s">
        <v>25</v>
      </c>
      <c r="C65" t="s">
        <v>8</v>
      </c>
      <c r="D65" t="s">
        <v>77</v>
      </c>
      <c r="E65">
        <v>92</v>
      </c>
      <c r="F65">
        <v>2.2000000000000002</v>
      </c>
      <c r="G65" t="s">
        <v>59</v>
      </c>
      <c r="H65">
        <v>70</v>
      </c>
      <c r="I65" t="s">
        <v>60</v>
      </c>
      <c r="J65">
        <v>3.5</v>
      </c>
      <c r="K65">
        <v>6</v>
      </c>
      <c r="L65">
        <v>115</v>
      </c>
      <c r="M65" t="s">
        <v>60</v>
      </c>
      <c r="N65">
        <v>26</v>
      </c>
    </row>
    <row r="66" spans="2:14" x14ac:dyDescent="0.3">
      <c r="B66" t="s">
        <v>25</v>
      </c>
      <c r="C66" t="s">
        <v>8</v>
      </c>
      <c r="D66" t="s">
        <v>78</v>
      </c>
      <c r="E66">
        <v>100</v>
      </c>
      <c r="F66">
        <v>3.4</v>
      </c>
      <c r="G66" t="s">
        <v>59</v>
      </c>
      <c r="H66">
        <v>70</v>
      </c>
      <c r="I66" t="s">
        <v>60</v>
      </c>
      <c r="J66">
        <v>4</v>
      </c>
      <c r="K66">
        <v>6</v>
      </c>
      <c r="L66">
        <v>115</v>
      </c>
      <c r="M66" t="s">
        <v>60</v>
      </c>
      <c r="N66">
        <v>26</v>
      </c>
    </row>
    <row r="67" spans="2:14" x14ac:dyDescent="0.3">
      <c r="B67" t="s">
        <v>24</v>
      </c>
      <c r="C67" t="s">
        <v>8</v>
      </c>
      <c r="D67" t="s">
        <v>76</v>
      </c>
      <c r="E67">
        <v>142</v>
      </c>
      <c r="F67">
        <v>3.4</v>
      </c>
      <c r="G67" t="s">
        <v>59</v>
      </c>
      <c r="H67">
        <v>80</v>
      </c>
      <c r="I67" t="s">
        <v>60</v>
      </c>
      <c r="J67">
        <v>5.4</v>
      </c>
      <c r="K67">
        <v>6</v>
      </c>
      <c r="L67">
        <v>115</v>
      </c>
      <c r="M67" t="s">
        <v>60</v>
      </c>
      <c r="N67">
        <v>26</v>
      </c>
    </row>
    <row r="73" spans="2:14" ht="18" x14ac:dyDescent="0.35">
      <c r="B73" s="1" t="s">
        <v>2</v>
      </c>
      <c r="C73" s="1" t="s">
        <v>1</v>
      </c>
      <c r="D73" s="1" t="s">
        <v>10</v>
      </c>
      <c r="E73" s="1" t="s">
        <v>57</v>
      </c>
      <c r="F73" s="1" t="s">
        <v>56</v>
      </c>
      <c r="G73" s="1" t="s">
        <v>55</v>
      </c>
      <c r="H73" s="1" t="s">
        <v>58</v>
      </c>
      <c r="I73" s="1" t="s">
        <v>68</v>
      </c>
      <c r="J73" s="1" t="s">
        <v>61</v>
      </c>
      <c r="K73" s="1" t="s">
        <v>65</v>
      </c>
      <c r="L73" s="1" t="s">
        <v>66</v>
      </c>
      <c r="M73" s="1" t="s">
        <v>64</v>
      </c>
      <c r="N73" s="1" t="s">
        <v>79</v>
      </c>
    </row>
    <row r="74" spans="2:14" x14ac:dyDescent="0.3">
      <c r="B74" s="4" t="s">
        <v>27</v>
      </c>
      <c r="C74" t="s">
        <v>8</v>
      </c>
      <c r="D74" s="4" t="s">
        <v>51</v>
      </c>
      <c r="E74">
        <v>153</v>
      </c>
      <c r="F74">
        <v>3.5</v>
      </c>
      <c r="G74" t="s">
        <v>59</v>
      </c>
      <c r="H74">
        <v>73</v>
      </c>
      <c r="I74" t="s">
        <v>62</v>
      </c>
      <c r="J74">
        <v>3.5</v>
      </c>
      <c r="K74">
        <v>4</v>
      </c>
      <c r="L74">
        <v>134</v>
      </c>
      <c r="M74" t="s">
        <v>62</v>
      </c>
      <c r="N74">
        <v>35</v>
      </c>
    </row>
    <row r="75" spans="2:14" x14ac:dyDescent="0.3">
      <c r="B75" s="2" t="s">
        <v>27</v>
      </c>
      <c r="C75" t="s">
        <v>8</v>
      </c>
      <c r="D75" s="4" t="s">
        <v>52</v>
      </c>
      <c r="E75">
        <v>153</v>
      </c>
      <c r="F75">
        <v>3.5</v>
      </c>
      <c r="G75" t="s">
        <v>59</v>
      </c>
      <c r="H75">
        <v>73</v>
      </c>
      <c r="I75" t="s">
        <v>62</v>
      </c>
      <c r="J75">
        <v>3.8</v>
      </c>
      <c r="K75">
        <v>4</v>
      </c>
      <c r="L75">
        <v>134</v>
      </c>
      <c r="M75" t="s">
        <v>60</v>
      </c>
      <c r="N75">
        <v>35</v>
      </c>
    </row>
    <row r="76" spans="2:14" x14ac:dyDescent="0.3">
      <c r="B76" s="4" t="s">
        <v>27</v>
      </c>
      <c r="C76" t="s">
        <v>8</v>
      </c>
      <c r="D76" s="4" t="s">
        <v>53</v>
      </c>
      <c r="E76">
        <v>151</v>
      </c>
      <c r="F76">
        <v>3.5</v>
      </c>
      <c r="G76" t="s">
        <v>59</v>
      </c>
      <c r="H76">
        <v>63</v>
      </c>
      <c r="I76" t="s">
        <v>60</v>
      </c>
      <c r="J76">
        <v>3.8</v>
      </c>
      <c r="K76">
        <v>4</v>
      </c>
      <c r="L76">
        <v>134</v>
      </c>
      <c r="M76" t="s">
        <v>60</v>
      </c>
      <c r="N76">
        <v>35</v>
      </c>
    </row>
    <row r="77" spans="2:14" x14ac:dyDescent="0.3">
      <c r="B77" s="2" t="s">
        <v>27</v>
      </c>
      <c r="C77" t="s">
        <v>8</v>
      </c>
      <c r="D77" t="s">
        <v>54</v>
      </c>
      <c r="E77">
        <v>127</v>
      </c>
      <c r="F77">
        <v>3</v>
      </c>
      <c r="G77" t="s">
        <v>59</v>
      </c>
      <c r="H77">
        <v>63</v>
      </c>
      <c r="I77" t="s">
        <v>60</v>
      </c>
      <c r="J77">
        <v>4.5</v>
      </c>
      <c r="K77">
        <v>4</v>
      </c>
      <c r="L77">
        <v>134</v>
      </c>
      <c r="M77" t="s">
        <v>60</v>
      </c>
      <c r="N77">
        <v>35</v>
      </c>
    </row>
  </sheetData>
  <phoneticPr fontId="3" type="noConversion"/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AAE6-DF97-42F6-B60D-017FED0D827E}">
  <dimension ref="D5:K43"/>
  <sheetViews>
    <sheetView topLeftCell="A24" zoomScale="104" workbookViewId="0">
      <selection activeCell="G45" sqref="G45"/>
    </sheetView>
  </sheetViews>
  <sheetFormatPr defaultRowHeight="14.4" x14ac:dyDescent="0.3"/>
  <cols>
    <col min="4" max="4" width="21.88671875" customWidth="1"/>
    <col min="5" max="5" width="11.6640625" customWidth="1"/>
    <col min="6" max="6" width="10.5546875" customWidth="1"/>
    <col min="10" max="10" width="11.6640625" customWidth="1"/>
    <col min="12" max="12" width="12" bestFit="1" customWidth="1"/>
  </cols>
  <sheetData>
    <row r="5" spans="4:11" ht="18" x14ac:dyDescent="0.35">
      <c r="D5" s="1" t="s">
        <v>10</v>
      </c>
      <c r="E5" s="1" t="s">
        <v>63</v>
      </c>
      <c r="F5" s="1"/>
      <c r="G5" s="1"/>
      <c r="H5" s="1"/>
      <c r="I5" s="1"/>
    </row>
    <row r="6" spans="4:11" x14ac:dyDescent="0.3">
      <c r="D6" s="3" t="s">
        <v>28</v>
      </c>
      <c r="E6">
        <v>130000</v>
      </c>
      <c r="K6" s="3"/>
    </row>
    <row r="7" spans="4:11" x14ac:dyDescent="0.3">
      <c r="D7" s="5" t="s">
        <v>29</v>
      </c>
      <c r="E7">
        <v>130000</v>
      </c>
    </row>
    <row r="8" spans="4:11" x14ac:dyDescent="0.3">
      <c r="D8" s="3" t="s">
        <v>30</v>
      </c>
      <c r="E8">
        <v>130000</v>
      </c>
    </row>
    <row r="9" spans="4:11" x14ac:dyDescent="0.3">
      <c r="D9" s="5" t="s">
        <v>31</v>
      </c>
      <c r="E9">
        <v>130000</v>
      </c>
      <c r="K9" s="3"/>
    </row>
    <row r="10" spans="4:11" x14ac:dyDescent="0.3">
      <c r="D10" s="3" t="s">
        <v>32</v>
      </c>
      <c r="E10">
        <v>144000</v>
      </c>
    </row>
    <row r="11" spans="4:11" x14ac:dyDescent="0.3">
      <c r="D11" s="5" t="s">
        <v>33</v>
      </c>
      <c r="E11">
        <v>144000</v>
      </c>
    </row>
    <row r="12" spans="4:11" x14ac:dyDescent="0.3">
      <c r="D12" s="3" t="s">
        <v>34</v>
      </c>
      <c r="E12">
        <v>157000</v>
      </c>
    </row>
    <row r="13" spans="4:11" x14ac:dyDescent="0.3">
      <c r="D13" s="5" t="s">
        <v>35</v>
      </c>
      <c r="E13">
        <v>157000</v>
      </c>
    </row>
    <row r="14" spans="4:11" x14ac:dyDescent="0.3">
      <c r="D14" s="3" t="s">
        <v>7</v>
      </c>
      <c r="E14">
        <v>191311</v>
      </c>
    </row>
    <row r="15" spans="4:11" x14ac:dyDescent="0.3">
      <c r="D15" s="5" t="s">
        <v>37</v>
      </c>
      <c r="E15">
        <v>108520</v>
      </c>
    </row>
    <row r="16" spans="4:11" x14ac:dyDescent="0.3">
      <c r="D16" s="3" t="s">
        <v>38</v>
      </c>
      <c r="E16">
        <v>123349</v>
      </c>
    </row>
    <row r="17" spans="4:5" x14ac:dyDescent="0.3">
      <c r="D17" s="5" t="s">
        <v>39</v>
      </c>
      <c r="E17">
        <v>132000</v>
      </c>
    </row>
    <row r="18" spans="4:5" x14ac:dyDescent="0.3">
      <c r="D18" s="3" t="s">
        <v>104</v>
      </c>
      <c r="E18">
        <v>142000</v>
      </c>
    </row>
    <row r="19" spans="4:5" x14ac:dyDescent="0.3">
      <c r="D19" s="5" t="s">
        <v>42</v>
      </c>
      <c r="E19">
        <v>155000</v>
      </c>
    </row>
    <row r="20" spans="4:5" x14ac:dyDescent="0.3">
      <c r="D20" s="3" t="s">
        <v>43</v>
      </c>
      <c r="E20">
        <v>170000</v>
      </c>
    </row>
    <row r="21" spans="4:5" x14ac:dyDescent="0.3">
      <c r="D21" s="5" t="s">
        <v>11</v>
      </c>
      <c r="E21">
        <v>250000</v>
      </c>
    </row>
    <row r="22" spans="4:5" x14ac:dyDescent="0.3">
      <c r="D22" s="3" t="s">
        <v>12</v>
      </c>
      <c r="E22">
        <v>100000</v>
      </c>
    </row>
    <row r="23" spans="4:5" x14ac:dyDescent="0.3">
      <c r="D23" s="5" t="s">
        <v>46</v>
      </c>
      <c r="E23">
        <v>90000</v>
      </c>
    </row>
    <row r="24" spans="4:5" x14ac:dyDescent="0.3">
      <c r="D24" s="3" t="s">
        <v>44</v>
      </c>
      <c r="E24">
        <v>105000</v>
      </c>
    </row>
    <row r="25" spans="4:5" x14ac:dyDescent="0.3">
      <c r="D25" s="5" t="s">
        <v>45</v>
      </c>
      <c r="E25">
        <v>115000</v>
      </c>
    </row>
    <row r="26" spans="4:5" x14ac:dyDescent="0.3">
      <c r="D26" s="3" t="s">
        <v>67</v>
      </c>
      <c r="E26">
        <v>125000</v>
      </c>
    </row>
    <row r="27" spans="4:5" x14ac:dyDescent="0.3">
      <c r="D27" s="5" t="s">
        <v>47</v>
      </c>
      <c r="E27">
        <v>145000</v>
      </c>
    </row>
    <row r="28" spans="4:5" x14ac:dyDescent="0.3">
      <c r="D28" s="3" t="s">
        <v>48</v>
      </c>
      <c r="E28">
        <v>160000</v>
      </c>
    </row>
    <row r="29" spans="4:5" x14ac:dyDescent="0.3">
      <c r="D29" s="5" t="s">
        <v>105</v>
      </c>
      <c r="E29">
        <v>140000</v>
      </c>
    </row>
    <row r="30" spans="4:5" x14ac:dyDescent="0.3">
      <c r="D30" s="3" t="s">
        <v>106</v>
      </c>
      <c r="E30">
        <v>175000</v>
      </c>
    </row>
    <row r="31" spans="4:5" x14ac:dyDescent="0.3">
      <c r="D31" s="3" t="s">
        <v>49</v>
      </c>
      <c r="E31">
        <v>175000</v>
      </c>
    </row>
    <row r="32" spans="4:5" x14ac:dyDescent="0.3">
      <c r="D32" s="3" t="s">
        <v>75</v>
      </c>
      <c r="E32">
        <v>155000</v>
      </c>
    </row>
    <row r="33" spans="4:5" x14ac:dyDescent="0.3">
      <c r="D33" s="5" t="s">
        <v>19</v>
      </c>
      <c r="E33">
        <v>65000</v>
      </c>
    </row>
    <row r="34" spans="4:5" x14ac:dyDescent="0.3">
      <c r="D34" s="3" t="s">
        <v>107</v>
      </c>
      <c r="E34">
        <v>120000</v>
      </c>
    </row>
    <row r="35" spans="4:5" x14ac:dyDescent="0.3">
      <c r="D35" t="s">
        <v>22</v>
      </c>
      <c r="E35">
        <v>140000</v>
      </c>
    </row>
    <row r="36" spans="4:5" x14ac:dyDescent="0.3">
      <c r="D36" t="s">
        <v>23</v>
      </c>
      <c r="E36">
        <v>104800</v>
      </c>
    </row>
    <row r="37" spans="4:5" x14ac:dyDescent="0.3">
      <c r="D37" t="s">
        <v>77</v>
      </c>
      <c r="E37">
        <v>73850</v>
      </c>
    </row>
    <row r="38" spans="4:5" x14ac:dyDescent="0.3">
      <c r="D38" t="s">
        <v>78</v>
      </c>
      <c r="E38">
        <v>84800</v>
      </c>
    </row>
    <row r="39" spans="4:5" x14ac:dyDescent="0.3">
      <c r="D39" t="s">
        <v>76</v>
      </c>
      <c r="E39">
        <v>94800</v>
      </c>
    </row>
    <row r="40" spans="4:5" x14ac:dyDescent="0.3">
      <c r="D40" s="4" t="s">
        <v>51</v>
      </c>
      <c r="E40">
        <v>134061</v>
      </c>
    </row>
    <row r="41" spans="4:5" x14ac:dyDescent="0.3">
      <c r="D41" s="4" t="s">
        <v>52</v>
      </c>
      <c r="E41">
        <v>122492</v>
      </c>
    </row>
    <row r="42" spans="4:5" x14ac:dyDescent="0.3">
      <c r="D42" s="4" t="s">
        <v>53</v>
      </c>
      <c r="E42">
        <v>109551</v>
      </c>
    </row>
    <row r="43" spans="4:5" x14ac:dyDescent="0.3">
      <c r="D43" t="s">
        <v>54</v>
      </c>
      <c r="E43">
        <v>102352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7571-8B72-4525-B3DF-F2D6593C8C2B}">
  <dimension ref="B1:T5063"/>
  <sheetViews>
    <sheetView topLeftCell="A31" zoomScale="98" zoomScaleNormal="75" workbookViewId="0">
      <selection activeCell="B30" sqref="B30"/>
    </sheetView>
  </sheetViews>
  <sheetFormatPr defaultRowHeight="14.4" x14ac:dyDescent="0.3"/>
  <cols>
    <col min="2" max="2" width="14.21875" customWidth="1"/>
    <col min="3" max="8" width="9" bestFit="1" customWidth="1"/>
    <col min="10" max="10" width="11.6640625" customWidth="1"/>
    <col min="11" max="11" width="10.44140625" bestFit="1" customWidth="1"/>
    <col min="15" max="15" width="9" bestFit="1" customWidth="1"/>
    <col min="16" max="16" width="11.6640625" customWidth="1"/>
    <col min="17" max="17" width="10.6640625" bestFit="1" customWidth="1"/>
    <col min="19" max="19" width="12.21875" customWidth="1"/>
  </cols>
  <sheetData>
    <row r="1" spans="2:20" x14ac:dyDescent="0.3">
      <c r="T1" t="s">
        <v>88</v>
      </c>
    </row>
    <row r="3" spans="2:20" x14ac:dyDescent="0.3">
      <c r="B3" s="6" t="s">
        <v>82</v>
      </c>
      <c r="C3" s="6" t="s">
        <v>3</v>
      </c>
      <c r="D3" s="6" t="s">
        <v>9</v>
      </c>
      <c r="E3" s="6" t="s">
        <v>69</v>
      </c>
      <c r="F3" s="6" t="s">
        <v>21</v>
      </c>
      <c r="G3" s="6" t="s">
        <v>26</v>
      </c>
      <c r="H3" s="6" t="s">
        <v>70</v>
      </c>
      <c r="K3" s="6" t="s">
        <v>90</v>
      </c>
      <c r="L3" s="6" t="s">
        <v>103</v>
      </c>
      <c r="N3" s="6"/>
      <c r="O3" s="6"/>
      <c r="P3" s="6"/>
      <c r="Q3" s="9"/>
    </row>
    <row r="4" spans="2:20" x14ac:dyDescent="0.3">
      <c r="B4" s="7">
        <v>45322</v>
      </c>
      <c r="C4">
        <v>8900</v>
      </c>
      <c r="D4">
        <v>17800</v>
      </c>
      <c r="E4">
        <v>30000</v>
      </c>
      <c r="F4">
        <v>2900</v>
      </c>
      <c r="G4">
        <v>12000</v>
      </c>
      <c r="H4">
        <f>SUM(C4:G4)</f>
        <v>71600</v>
      </c>
      <c r="K4" t="s">
        <v>92</v>
      </c>
      <c r="L4">
        <v>14</v>
      </c>
      <c r="Q4" s="9"/>
    </row>
    <row r="5" spans="2:20" x14ac:dyDescent="0.3">
      <c r="B5" s="7">
        <v>45351</v>
      </c>
      <c r="C5">
        <v>9850</v>
      </c>
      <c r="D5">
        <v>18900</v>
      </c>
      <c r="E5">
        <v>31000</v>
      </c>
      <c r="F5">
        <v>3500</v>
      </c>
      <c r="G5">
        <v>14000</v>
      </c>
      <c r="H5">
        <f t="shared" ref="H5:H26" si="0">SUM(C5:G5)</f>
        <v>77250</v>
      </c>
      <c r="K5" t="s">
        <v>93</v>
      </c>
      <c r="L5">
        <v>9</v>
      </c>
      <c r="Q5" s="9"/>
    </row>
    <row r="6" spans="2:20" x14ac:dyDescent="0.3">
      <c r="B6" s="7">
        <v>45382</v>
      </c>
      <c r="C6">
        <v>17429</v>
      </c>
      <c r="D6">
        <v>20100</v>
      </c>
      <c r="E6">
        <v>53647</v>
      </c>
      <c r="F6">
        <v>4085</v>
      </c>
      <c r="G6">
        <v>20000</v>
      </c>
      <c r="H6">
        <f t="shared" si="0"/>
        <v>115261</v>
      </c>
      <c r="K6" t="s">
        <v>94</v>
      </c>
      <c r="L6">
        <v>12</v>
      </c>
      <c r="Q6" s="9"/>
    </row>
    <row r="7" spans="2:20" x14ac:dyDescent="0.3">
      <c r="B7" s="7">
        <v>45412</v>
      </c>
      <c r="C7">
        <v>10300</v>
      </c>
      <c r="D7">
        <v>21400</v>
      </c>
      <c r="E7">
        <v>35000</v>
      </c>
      <c r="F7">
        <v>3900</v>
      </c>
      <c r="G7">
        <v>22000</v>
      </c>
      <c r="H7">
        <f t="shared" si="0"/>
        <v>92600</v>
      </c>
      <c r="K7" t="s">
        <v>95</v>
      </c>
      <c r="L7">
        <v>11</v>
      </c>
      <c r="Q7" s="9"/>
    </row>
    <row r="8" spans="2:20" x14ac:dyDescent="0.3">
      <c r="B8" s="7">
        <v>45443</v>
      </c>
      <c r="C8">
        <v>11200</v>
      </c>
      <c r="D8">
        <v>22600</v>
      </c>
      <c r="E8">
        <v>37000</v>
      </c>
      <c r="F8">
        <v>4300</v>
      </c>
      <c r="G8">
        <v>24000</v>
      </c>
      <c r="H8">
        <f t="shared" si="0"/>
        <v>99100</v>
      </c>
      <c r="K8" t="s">
        <v>96</v>
      </c>
      <c r="L8">
        <v>8</v>
      </c>
      <c r="Q8" s="9"/>
    </row>
    <row r="9" spans="2:20" x14ac:dyDescent="0.3">
      <c r="B9" s="7">
        <v>45473</v>
      </c>
      <c r="C9">
        <v>10950</v>
      </c>
      <c r="D9">
        <v>23200</v>
      </c>
      <c r="E9">
        <v>38000</v>
      </c>
      <c r="F9">
        <v>4700</v>
      </c>
      <c r="G9">
        <v>25000</v>
      </c>
      <c r="H9">
        <f t="shared" si="0"/>
        <v>101850</v>
      </c>
      <c r="K9" t="s">
        <v>97</v>
      </c>
      <c r="L9">
        <v>7</v>
      </c>
      <c r="Q9" s="9"/>
    </row>
    <row r="10" spans="2:20" x14ac:dyDescent="0.3">
      <c r="B10" s="7">
        <v>45504</v>
      </c>
      <c r="C10">
        <v>11300</v>
      </c>
      <c r="D10">
        <v>24500</v>
      </c>
      <c r="E10">
        <v>39000</v>
      </c>
      <c r="F10">
        <v>5100</v>
      </c>
      <c r="G10">
        <v>26500</v>
      </c>
      <c r="H10">
        <f t="shared" si="0"/>
        <v>106400</v>
      </c>
      <c r="K10" t="s">
        <v>98</v>
      </c>
      <c r="L10">
        <v>6</v>
      </c>
      <c r="Q10" s="9"/>
    </row>
    <row r="11" spans="2:20" x14ac:dyDescent="0.3">
      <c r="B11" s="7">
        <v>45535</v>
      </c>
      <c r="C11">
        <v>11750</v>
      </c>
      <c r="D11">
        <v>25600</v>
      </c>
      <c r="E11">
        <v>28000</v>
      </c>
      <c r="F11">
        <v>4800</v>
      </c>
      <c r="G11">
        <v>27000</v>
      </c>
      <c r="H11">
        <f t="shared" si="0"/>
        <v>97150</v>
      </c>
      <c r="K11" t="s">
        <v>99</v>
      </c>
      <c r="L11">
        <v>3</v>
      </c>
      <c r="Q11" s="9"/>
    </row>
    <row r="12" spans="2:20" x14ac:dyDescent="0.3">
      <c r="B12" s="7">
        <v>45565</v>
      </c>
      <c r="C12">
        <v>10800</v>
      </c>
      <c r="D12">
        <v>28901</v>
      </c>
      <c r="E12">
        <v>24716</v>
      </c>
      <c r="F12">
        <v>4600</v>
      </c>
      <c r="G12">
        <v>28000</v>
      </c>
      <c r="H12">
        <f t="shared" si="0"/>
        <v>97017</v>
      </c>
      <c r="K12" t="s">
        <v>100</v>
      </c>
      <c r="L12">
        <v>4</v>
      </c>
      <c r="Q12" s="9"/>
    </row>
    <row r="13" spans="2:20" x14ac:dyDescent="0.3">
      <c r="B13" s="7">
        <v>45596</v>
      </c>
      <c r="C13">
        <v>11900</v>
      </c>
      <c r="D13">
        <v>29308</v>
      </c>
      <c r="E13">
        <v>41605</v>
      </c>
      <c r="F13">
        <v>4300</v>
      </c>
      <c r="G13">
        <v>28415</v>
      </c>
      <c r="H13">
        <f t="shared" si="0"/>
        <v>115528</v>
      </c>
      <c r="K13" t="s">
        <v>101</v>
      </c>
      <c r="L13">
        <v>5</v>
      </c>
      <c r="Q13" s="9"/>
    </row>
    <row r="14" spans="2:20" x14ac:dyDescent="0.3">
      <c r="B14" s="7">
        <v>45626</v>
      </c>
      <c r="C14">
        <v>10500</v>
      </c>
      <c r="D14">
        <v>21800</v>
      </c>
      <c r="E14">
        <v>30000</v>
      </c>
      <c r="F14">
        <v>2900</v>
      </c>
      <c r="G14">
        <v>26163</v>
      </c>
      <c r="H14">
        <f t="shared" si="0"/>
        <v>91363</v>
      </c>
      <c r="K14" t="s">
        <v>102</v>
      </c>
      <c r="L14">
        <v>21</v>
      </c>
      <c r="Q14" s="9"/>
    </row>
    <row r="15" spans="2:20" x14ac:dyDescent="0.3">
      <c r="B15" s="7">
        <v>45657</v>
      </c>
      <c r="C15">
        <v>11186</v>
      </c>
      <c r="D15">
        <v>20171</v>
      </c>
      <c r="E15">
        <v>13794</v>
      </c>
      <c r="F15">
        <v>1477</v>
      </c>
      <c r="G15">
        <v>22000</v>
      </c>
      <c r="H15">
        <f t="shared" si="0"/>
        <v>68628</v>
      </c>
      <c r="K15" s="7"/>
      <c r="Q15" s="8"/>
    </row>
    <row r="16" spans="2:20" x14ac:dyDescent="0.3">
      <c r="B16" s="7">
        <v>45688</v>
      </c>
      <c r="C16">
        <v>12895</v>
      </c>
      <c r="D16">
        <v>21900</v>
      </c>
      <c r="E16">
        <v>24330</v>
      </c>
      <c r="F16">
        <v>6669</v>
      </c>
      <c r="G16">
        <v>28000</v>
      </c>
      <c r="H16">
        <f t="shared" si="0"/>
        <v>93794</v>
      </c>
      <c r="K16" s="7"/>
    </row>
    <row r="17" spans="2:11" x14ac:dyDescent="0.3">
      <c r="B17" s="7">
        <v>45716</v>
      </c>
      <c r="C17">
        <v>13900</v>
      </c>
      <c r="D17">
        <v>22800</v>
      </c>
      <c r="E17">
        <v>25000</v>
      </c>
      <c r="F17">
        <v>6200</v>
      </c>
      <c r="G17">
        <v>29000</v>
      </c>
      <c r="H17">
        <f t="shared" si="0"/>
        <v>96900</v>
      </c>
      <c r="K17" s="7"/>
    </row>
    <row r="18" spans="2:11" x14ac:dyDescent="0.3">
      <c r="B18" s="7">
        <v>45747</v>
      </c>
      <c r="C18">
        <v>15446</v>
      </c>
      <c r="D18">
        <v>23950</v>
      </c>
      <c r="E18">
        <v>23430</v>
      </c>
      <c r="F18">
        <v>7787</v>
      </c>
      <c r="G18">
        <v>34863</v>
      </c>
      <c r="H18">
        <f t="shared" si="0"/>
        <v>105476</v>
      </c>
      <c r="K18" s="7"/>
    </row>
    <row r="19" spans="2:11" x14ac:dyDescent="0.3">
      <c r="B19" s="7">
        <v>45777</v>
      </c>
      <c r="C19">
        <v>14800</v>
      </c>
      <c r="D19">
        <v>27684</v>
      </c>
      <c r="E19">
        <v>22000</v>
      </c>
      <c r="F19">
        <v>7116</v>
      </c>
      <c r="G19">
        <v>30000</v>
      </c>
      <c r="H19">
        <f t="shared" si="0"/>
        <v>101600</v>
      </c>
      <c r="K19" s="7"/>
    </row>
    <row r="20" spans="2:11" x14ac:dyDescent="0.3">
      <c r="B20" s="7">
        <v>45808</v>
      </c>
      <c r="C20">
        <v>15200</v>
      </c>
      <c r="D20">
        <v>25700</v>
      </c>
      <c r="E20">
        <v>18499</v>
      </c>
      <c r="F20">
        <v>8361</v>
      </c>
      <c r="G20">
        <v>31000</v>
      </c>
      <c r="H20">
        <f t="shared" si="0"/>
        <v>98760</v>
      </c>
      <c r="K20" s="7"/>
    </row>
    <row r="21" spans="2:11" x14ac:dyDescent="0.3">
      <c r="B21" s="7">
        <v>45838</v>
      </c>
      <c r="C21">
        <v>15900</v>
      </c>
      <c r="D21">
        <v>14400</v>
      </c>
      <c r="E21">
        <v>20000</v>
      </c>
      <c r="F21">
        <v>7178</v>
      </c>
      <c r="G21">
        <v>32000</v>
      </c>
      <c r="H21">
        <f t="shared" si="0"/>
        <v>89478</v>
      </c>
      <c r="K21" s="7"/>
    </row>
    <row r="22" spans="2:11" x14ac:dyDescent="0.3">
      <c r="B22" s="7">
        <v>45869</v>
      </c>
      <c r="C22">
        <v>16231</v>
      </c>
      <c r="D22">
        <v>22242</v>
      </c>
      <c r="E22">
        <v>22000</v>
      </c>
      <c r="F22">
        <v>11226</v>
      </c>
      <c r="G22">
        <v>33000</v>
      </c>
      <c r="H22">
        <f t="shared" si="0"/>
        <v>104699</v>
      </c>
      <c r="K22" s="7"/>
    </row>
    <row r="23" spans="2:11" x14ac:dyDescent="0.3">
      <c r="B23" s="7">
        <v>45900</v>
      </c>
      <c r="C23">
        <v>17856</v>
      </c>
      <c r="D23">
        <v>23600</v>
      </c>
      <c r="E23">
        <v>21000</v>
      </c>
      <c r="F23">
        <v>12275</v>
      </c>
      <c r="G23">
        <v>30000</v>
      </c>
      <c r="H23">
        <f t="shared" si="0"/>
        <v>104731</v>
      </c>
      <c r="K23" s="7"/>
    </row>
    <row r="24" spans="2:11" x14ac:dyDescent="0.3">
      <c r="B24" s="7">
        <v>45930</v>
      </c>
      <c r="C24">
        <v>18900</v>
      </c>
      <c r="D24">
        <v>24800</v>
      </c>
      <c r="E24">
        <v>18000</v>
      </c>
      <c r="F24">
        <v>13000</v>
      </c>
      <c r="G24">
        <v>31000</v>
      </c>
      <c r="H24">
        <f t="shared" si="0"/>
        <v>105700</v>
      </c>
      <c r="K24" s="7"/>
    </row>
    <row r="25" spans="2:11" x14ac:dyDescent="0.3">
      <c r="B25" s="7">
        <v>45961</v>
      </c>
      <c r="C25">
        <v>26713</v>
      </c>
      <c r="D25">
        <v>32387</v>
      </c>
      <c r="E25">
        <v>19000</v>
      </c>
      <c r="F25">
        <v>15934</v>
      </c>
      <c r="G25">
        <v>31168</v>
      </c>
      <c r="H25">
        <f t="shared" si="0"/>
        <v>125202</v>
      </c>
      <c r="K25" s="7"/>
    </row>
    <row r="26" spans="2:11" x14ac:dyDescent="0.3">
      <c r="B26" s="7">
        <v>45991</v>
      </c>
      <c r="C26">
        <v>19400</v>
      </c>
      <c r="D26">
        <v>25500</v>
      </c>
      <c r="E26">
        <v>18000</v>
      </c>
      <c r="F26">
        <v>15934</v>
      </c>
      <c r="G26">
        <v>30000</v>
      </c>
      <c r="H26">
        <f t="shared" si="0"/>
        <v>108834</v>
      </c>
      <c r="K26" s="7"/>
    </row>
    <row r="27" spans="2:11" x14ac:dyDescent="0.3">
      <c r="K27" s="7"/>
    </row>
    <row r="28" spans="2:11" x14ac:dyDescent="0.3">
      <c r="K28" s="7"/>
    </row>
    <row r="29" spans="2:11" x14ac:dyDescent="0.3">
      <c r="K29" s="7"/>
    </row>
    <row r="30" spans="2:11" x14ac:dyDescent="0.3">
      <c r="K30" s="7"/>
    </row>
    <row r="31" spans="2:11" x14ac:dyDescent="0.3">
      <c r="K31" s="7"/>
    </row>
    <row r="32" spans="2:11" x14ac:dyDescent="0.3">
      <c r="K32" s="7"/>
    </row>
    <row r="33" spans="11:11" x14ac:dyDescent="0.3">
      <c r="K33" s="7"/>
    </row>
    <row r="34" spans="11:11" x14ac:dyDescent="0.3">
      <c r="K34" s="7"/>
    </row>
    <row r="35" spans="11:11" x14ac:dyDescent="0.3">
      <c r="K35" s="7"/>
    </row>
    <row r="36" spans="11:11" x14ac:dyDescent="0.3">
      <c r="K36" s="7"/>
    </row>
    <row r="37" spans="11:11" x14ac:dyDescent="0.3">
      <c r="K37" s="7"/>
    </row>
    <row r="38" spans="11:11" x14ac:dyDescent="0.3">
      <c r="K38" s="7"/>
    </row>
    <row r="39" spans="11:11" x14ac:dyDescent="0.3">
      <c r="K39" s="7"/>
    </row>
    <row r="40" spans="11:11" x14ac:dyDescent="0.3">
      <c r="K40" s="7"/>
    </row>
    <row r="41" spans="11:11" x14ac:dyDescent="0.3">
      <c r="K41" s="7"/>
    </row>
    <row r="42" spans="11:11" x14ac:dyDescent="0.3">
      <c r="K42" s="7"/>
    </row>
    <row r="43" spans="11:11" x14ac:dyDescent="0.3">
      <c r="K43" s="7"/>
    </row>
    <row r="44" spans="11:11" x14ac:dyDescent="0.3">
      <c r="K44" s="7"/>
    </row>
    <row r="45" spans="11:11" x14ac:dyDescent="0.3">
      <c r="K45" s="7"/>
    </row>
    <row r="46" spans="11:11" x14ac:dyDescent="0.3">
      <c r="K46" s="7"/>
    </row>
    <row r="47" spans="11:11" x14ac:dyDescent="0.3">
      <c r="K47" s="7"/>
    </row>
    <row r="48" spans="11:11" x14ac:dyDescent="0.3">
      <c r="K48" s="7"/>
    </row>
    <row r="49" spans="11:11" x14ac:dyDescent="0.3">
      <c r="K49" s="7"/>
    </row>
    <row r="50" spans="11:11" x14ac:dyDescent="0.3">
      <c r="K50" s="7"/>
    </row>
    <row r="51" spans="11:11" x14ac:dyDescent="0.3">
      <c r="K51" s="7"/>
    </row>
    <row r="52" spans="11:11" x14ac:dyDescent="0.3">
      <c r="K52" s="7"/>
    </row>
    <row r="53" spans="11:11" x14ac:dyDescent="0.3">
      <c r="K53" s="7"/>
    </row>
    <row r="54" spans="11:11" x14ac:dyDescent="0.3">
      <c r="K54" s="7"/>
    </row>
    <row r="55" spans="11:11" x14ac:dyDescent="0.3">
      <c r="K55" s="7"/>
    </row>
    <row r="56" spans="11:11" x14ac:dyDescent="0.3">
      <c r="K56" s="7"/>
    </row>
    <row r="57" spans="11:11" x14ac:dyDescent="0.3">
      <c r="K57" s="7"/>
    </row>
    <row r="58" spans="11:11" x14ac:dyDescent="0.3">
      <c r="K58" s="7"/>
    </row>
    <row r="59" spans="11:11" x14ac:dyDescent="0.3">
      <c r="K59" s="7"/>
    </row>
    <row r="60" spans="11:11" x14ac:dyDescent="0.3">
      <c r="K60" s="7"/>
    </row>
    <row r="61" spans="11:11" x14ac:dyDescent="0.3">
      <c r="K61" s="7"/>
    </row>
    <row r="62" spans="11:11" x14ac:dyDescent="0.3">
      <c r="K62" s="7"/>
    </row>
    <row r="63" spans="11:11" x14ac:dyDescent="0.3">
      <c r="K63" s="7"/>
    </row>
    <row r="64" spans="11:11" x14ac:dyDescent="0.3">
      <c r="K64" s="7"/>
    </row>
    <row r="65" spans="11:11" x14ac:dyDescent="0.3">
      <c r="K65" s="7"/>
    </row>
    <row r="66" spans="11:11" x14ac:dyDescent="0.3">
      <c r="K66" s="7"/>
    </row>
    <row r="67" spans="11:11" x14ac:dyDescent="0.3">
      <c r="K67" s="7"/>
    </row>
    <row r="68" spans="11:11" x14ac:dyDescent="0.3">
      <c r="K68" s="7"/>
    </row>
    <row r="69" spans="11:11" x14ac:dyDescent="0.3">
      <c r="K69" s="7"/>
    </row>
    <row r="70" spans="11:11" x14ac:dyDescent="0.3">
      <c r="K70" s="7"/>
    </row>
    <row r="71" spans="11:11" x14ac:dyDescent="0.3">
      <c r="K71" s="7"/>
    </row>
    <row r="72" spans="11:11" x14ac:dyDescent="0.3">
      <c r="K72" s="7"/>
    </row>
    <row r="73" spans="11:11" x14ac:dyDescent="0.3">
      <c r="K73" s="7"/>
    </row>
    <row r="74" spans="11:11" x14ac:dyDescent="0.3">
      <c r="K74" s="7"/>
    </row>
    <row r="75" spans="11:11" x14ac:dyDescent="0.3">
      <c r="K75" s="7"/>
    </row>
    <row r="76" spans="11:11" x14ac:dyDescent="0.3">
      <c r="K76" s="7"/>
    </row>
    <row r="77" spans="11:11" x14ac:dyDescent="0.3">
      <c r="K77" s="7"/>
    </row>
    <row r="78" spans="11:11" x14ac:dyDescent="0.3">
      <c r="K78" s="7"/>
    </row>
    <row r="79" spans="11:11" x14ac:dyDescent="0.3">
      <c r="K79" s="7"/>
    </row>
    <row r="80" spans="11:11" x14ac:dyDescent="0.3">
      <c r="K80" s="7"/>
    </row>
    <row r="81" spans="11:11" x14ac:dyDescent="0.3">
      <c r="K81" s="7"/>
    </row>
    <row r="82" spans="11:11" x14ac:dyDescent="0.3">
      <c r="K82" s="7"/>
    </row>
    <row r="83" spans="11:11" x14ac:dyDescent="0.3">
      <c r="K83" s="7"/>
    </row>
    <row r="84" spans="11:11" x14ac:dyDescent="0.3">
      <c r="K84" s="7"/>
    </row>
    <row r="85" spans="11:11" x14ac:dyDescent="0.3">
      <c r="K85" s="7"/>
    </row>
    <row r="86" spans="11:11" x14ac:dyDescent="0.3">
      <c r="K86" s="7"/>
    </row>
    <row r="87" spans="11:11" x14ac:dyDescent="0.3">
      <c r="K87" s="7"/>
    </row>
    <row r="88" spans="11:11" x14ac:dyDescent="0.3">
      <c r="K88" s="7"/>
    </row>
    <row r="89" spans="11:11" x14ac:dyDescent="0.3">
      <c r="K89" s="7"/>
    </row>
    <row r="90" spans="11:11" x14ac:dyDescent="0.3">
      <c r="K90" s="7"/>
    </row>
    <row r="91" spans="11:11" x14ac:dyDescent="0.3">
      <c r="K91" s="7"/>
    </row>
    <row r="92" spans="11:11" x14ac:dyDescent="0.3">
      <c r="K92" s="7"/>
    </row>
    <row r="93" spans="11:11" x14ac:dyDescent="0.3">
      <c r="K93" s="7"/>
    </row>
    <row r="94" spans="11:11" x14ac:dyDescent="0.3">
      <c r="K94" s="7"/>
    </row>
    <row r="95" spans="11:11" x14ac:dyDescent="0.3">
      <c r="K95" s="7"/>
    </row>
    <row r="96" spans="11:11" x14ac:dyDescent="0.3">
      <c r="K96" s="7"/>
    </row>
    <row r="97" spans="11:11" x14ac:dyDescent="0.3">
      <c r="K97" s="7"/>
    </row>
    <row r="98" spans="11:11" x14ac:dyDescent="0.3">
      <c r="K98" s="7"/>
    </row>
    <row r="99" spans="11:11" x14ac:dyDescent="0.3">
      <c r="K99" s="7"/>
    </row>
    <row r="100" spans="11:11" x14ac:dyDescent="0.3">
      <c r="K100" s="7"/>
    </row>
    <row r="101" spans="11:11" x14ac:dyDescent="0.3">
      <c r="K101" s="7"/>
    </row>
    <row r="102" spans="11:11" x14ac:dyDescent="0.3">
      <c r="K102" s="7"/>
    </row>
    <row r="103" spans="11:11" x14ac:dyDescent="0.3">
      <c r="K103" s="7"/>
    </row>
    <row r="104" spans="11:11" x14ac:dyDescent="0.3">
      <c r="K104" s="7"/>
    </row>
    <row r="105" spans="11:11" x14ac:dyDescent="0.3">
      <c r="K105" s="7"/>
    </row>
    <row r="106" spans="11:11" x14ac:dyDescent="0.3">
      <c r="K106" s="7"/>
    </row>
    <row r="107" spans="11:11" x14ac:dyDescent="0.3">
      <c r="K107" s="7"/>
    </row>
    <row r="108" spans="11:11" x14ac:dyDescent="0.3">
      <c r="K108" s="7"/>
    </row>
    <row r="109" spans="11:11" x14ac:dyDescent="0.3">
      <c r="K109" s="7"/>
    </row>
    <row r="110" spans="11:11" x14ac:dyDescent="0.3">
      <c r="K110" s="7"/>
    </row>
    <row r="111" spans="11:11" x14ac:dyDescent="0.3">
      <c r="K111" s="7"/>
    </row>
    <row r="112" spans="11:11" x14ac:dyDescent="0.3">
      <c r="K112" s="7"/>
    </row>
    <row r="113" spans="11:11" x14ac:dyDescent="0.3">
      <c r="K113" s="7"/>
    </row>
    <row r="114" spans="11:11" x14ac:dyDescent="0.3">
      <c r="K114" s="7"/>
    </row>
    <row r="115" spans="11:11" x14ac:dyDescent="0.3">
      <c r="K115" s="7"/>
    </row>
    <row r="116" spans="11:11" x14ac:dyDescent="0.3">
      <c r="K116" s="7"/>
    </row>
    <row r="117" spans="11:11" x14ac:dyDescent="0.3">
      <c r="K117" s="7"/>
    </row>
    <row r="118" spans="11:11" x14ac:dyDescent="0.3">
      <c r="K118" s="7"/>
    </row>
    <row r="119" spans="11:11" x14ac:dyDescent="0.3">
      <c r="K119" s="7"/>
    </row>
    <row r="120" spans="11:11" x14ac:dyDescent="0.3">
      <c r="K120" s="7"/>
    </row>
    <row r="121" spans="11:11" x14ac:dyDescent="0.3">
      <c r="K121" s="7"/>
    </row>
    <row r="122" spans="11:11" x14ac:dyDescent="0.3">
      <c r="K122" s="7"/>
    </row>
    <row r="123" spans="11:11" x14ac:dyDescent="0.3">
      <c r="K123" s="7"/>
    </row>
    <row r="124" spans="11:11" x14ac:dyDescent="0.3">
      <c r="K124" s="7"/>
    </row>
    <row r="125" spans="11:11" x14ac:dyDescent="0.3">
      <c r="K125" s="7"/>
    </row>
    <row r="126" spans="11:11" x14ac:dyDescent="0.3">
      <c r="K126" s="7"/>
    </row>
    <row r="127" spans="11:11" x14ac:dyDescent="0.3">
      <c r="K127" s="7"/>
    </row>
    <row r="128" spans="11:11" x14ac:dyDescent="0.3">
      <c r="K128" s="7"/>
    </row>
    <row r="129" spans="11:11" x14ac:dyDescent="0.3">
      <c r="K129" s="7"/>
    </row>
    <row r="130" spans="11:11" x14ac:dyDescent="0.3">
      <c r="K130" s="7"/>
    </row>
    <row r="131" spans="11:11" x14ac:dyDescent="0.3">
      <c r="K131" s="7"/>
    </row>
    <row r="132" spans="11:11" x14ac:dyDescent="0.3">
      <c r="K132" s="7"/>
    </row>
    <row r="133" spans="11:11" x14ac:dyDescent="0.3">
      <c r="K133" s="7"/>
    </row>
    <row r="134" spans="11:11" x14ac:dyDescent="0.3">
      <c r="K134" s="7"/>
    </row>
    <row r="135" spans="11:11" x14ac:dyDescent="0.3">
      <c r="K135" s="7"/>
    </row>
    <row r="136" spans="11:11" x14ac:dyDescent="0.3">
      <c r="K136" s="7"/>
    </row>
    <row r="137" spans="11:11" x14ac:dyDescent="0.3">
      <c r="K137" s="7"/>
    </row>
    <row r="138" spans="11:11" x14ac:dyDescent="0.3">
      <c r="K138" s="7"/>
    </row>
    <row r="139" spans="11:11" x14ac:dyDescent="0.3">
      <c r="K139" s="7"/>
    </row>
    <row r="140" spans="11:11" x14ac:dyDescent="0.3">
      <c r="K140" s="7"/>
    </row>
    <row r="141" spans="11:11" x14ac:dyDescent="0.3">
      <c r="K141" s="7"/>
    </row>
    <row r="142" spans="11:11" x14ac:dyDescent="0.3">
      <c r="K142" s="7"/>
    </row>
    <row r="143" spans="11:11" x14ac:dyDescent="0.3">
      <c r="K143" s="7"/>
    </row>
    <row r="144" spans="11:11" x14ac:dyDescent="0.3">
      <c r="K144" s="7"/>
    </row>
    <row r="145" spans="11:11" x14ac:dyDescent="0.3">
      <c r="K145" s="7"/>
    </row>
    <row r="146" spans="11:11" x14ac:dyDescent="0.3">
      <c r="K146" s="7"/>
    </row>
    <row r="147" spans="11:11" x14ac:dyDescent="0.3">
      <c r="K147" s="7"/>
    </row>
    <row r="148" spans="11:11" x14ac:dyDescent="0.3">
      <c r="K148" s="7"/>
    </row>
    <row r="149" spans="11:11" x14ac:dyDescent="0.3">
      <c r="K149" s="7"/>
    </row>
    <row r="150" spans="11:11" x14ac:dyDescent="0.3">
      <c r="K150" s="7"/>
    </row>
    <row r="151" spans="11:11" x14ac:dyDescent="0.3">
      <c r="K151" s="7"/>
    </row>
    <row r="152" spans="11:11" x14ac:dyDescent="0.3">
      <c r="K152" s="7"/>
    </row>
    <row r="153" spans="11:11" x14ac:dyDescent="0.3">
      <c r="K153" s="7"/>
    </row>
    <row r="154" spans="11:11" x14ac:dyDescent="0.3">
      <c r="K154" s="7"/>
    </row>
    <row r="155" spans="11:11" x14ac:dyDescent="0.3">
      <c r="K155" s="7"/>
    </row>
    <row r="156" spans="11:11" x14ac:dyDescent="0.3">
      <c r="K156" s="7"/>
    </row>
    <row r="157" spans="11:11" x14ac:dyDescent="0.3">
      <c r="K157" s="7"/>
    </row>
    <row r="158" spans="11:11" x14ac:dyDescent="0.3">
      <c r="K158" s="7"/>
    </row>
    <row r="159" spans="11:11" x14ac:dyDescent="0.3">
      <c r="K159" s="7"/>
    </row>
    <row r="160" spans="11:11" x14ac:dyDescent="0.3">
      <c r="K160" s="7"/>
    </row>
    <row r="161" spans="11:11" x14ac:dyDescent="0.3">
      <c r="K161" s="7"/>
    </row>
    <row r="162" spans="11:11" x14ac:dyDescent="0.3">
      <c r="K162" s="7"/>
    </row>
    <row r="163" spans="11:11" x14ac:dyDescent="0.3">
      <c r="K163" s="7"/>
    </row>
    <row r="164" spans="11:11" x14ac:dyDescent="0.3">
      <c r="K164" s="7"/>
    </row>
    <row r="165" spans="11:11" x14ac:dyDescent="0.3">
      <c r="K165" s="7"/>
    </row>
    <row r="166" spans="11:11" x14ac:dyDescent="0.3">
      <c r="K166" s="7"/>
    </row>
    <row r="167" spans="11:11" x14ac:dyDescent="0.3">
      <c r="K167" s="7"/>
    </row>
    <row r="168" spans="11:11" x14ac:dyDescent="0.3">
      <c r="K168" s="7"/>
    </row>
    <row r="169" spans="11:11" x14ac:dyDescent="0.3">
      <c r="K169" s="7"/>
    </row>
    <row r="170" spans="11:11" x14ac:dyDescent="0.3">
      <c r="K170" s="7"/>
    </row>
    <row r="171" spans="11:11" x14ac:dyDescent="0.3">
      <c r="K171" s="7"/>
    </row>
    <row r="172" spans="11:11" x14ac:dyDescent="0.3">
      <c r="K172" s="7"/>
    </row>
    <row r="173" spans="11:11" x14ac:dyDescent="0.3">
      <c r="K173" s="7"/>
    </row>
    <row r="174" spans="11:11" x14ac:dyDescent="0.3">
      <c r="K174" s="7"/>
    </row>
    <row r="175" spans="11:11" x14ac:dyDescent="0.3">
      <c r="K175" s="7"/>
    </row>
    <row r="176" spans="11:11" x14ac:dyDescent="0.3">
      <c r="K176" s="7"/>
    </row>
    <row r="177" spans="11:11" x14ac:dyDescent="0.3">
      <c r="K177" s="7"/>
    </row>
    <row r="178" spans="11:11" x14ac:dyDescent="0.3">
      <c r="K178" s="7"/>
    </row>
    <row r="179" spans="11:11" x14ac:dyDescent="0.3">
      <c r="K179" s="7"/>
    </row>
    <row r="180" spans="11:11" x14ac:dyDescent="0.3">
      <c r="K180" s="7"/>
    </row>
    <row r="181" spans="11:11" x14ac:dyDescent="0.3">
      <c r="K181" s="7"/>
    </row>
    <row r="182" spans="11:11" x14ac:dyDescent="0.3">
      <c r="K182" s="7"/>
    </row>
    <row r="183" spans="11:11" x14ac:dyDescent="0.3">
      <c r="K183" s="7"/>
    </row>
    <row r="184" spans="11:11" x14ac:dyDescent="0.3">
      <c r="K184" s="7"/>
    </row>
    <row r="185" spans="11:11" x14ac:dyDescent="0.3">
      <c r="K185" s="7"/>
    </row>
    <row r="186" spans="11:11" x14ac:dyDescent="0.3">
      <c r="K186" s="7"/>
    </row>
    <row r="187" spans="11:11" x14ac:dyDescent="0.3">
      <c r="K187" s="7"/>
    </row>
    <row r="188" spans="11:11" x14ac:dyDescent="0.3">
      <c r="K188" s="7"/>
    </row>
    <row r="189" spans="11:11" x14ac:dyDescent="0.3">
      <c r="K189" s="7"/>
    </row>
    <row r="190" spans="11:11" x14ac:dyDescent="0.3">
      <c r="K190" s="7"/>
    </row>
    <row r="191" spans="11:11" x14ac:dyDescent="0.3">
      <c r="K191" s="7"/>
    </row>
    <row r="192" spans="11:11" x14ac:dyDescent="0.3">
      <c r="K192" s="7"/>
    </row>
    <row r="193" spans="11:11" x14ac:dyDescent="0.3">
      <c r="K193" s="7"/>
    </row>
    <row r="194" spans="11:11" x14ac:dyDescent="0.3">
      <c r="K194" s="7"/>
    </row>
    <row r="195" spans="11:11" x14ac:dyDescent="0.3">
      <c r="K195" s="7"/>
    </row>
    <row r="196" spans="11:11" x14ac:dyDescent="0.3">
      <c r="K196" s="7"/>
    </row>
    <row r="197" spans="11:11" x14ac:dyDescent="0.3">
      <c r="K197" s="7"/>
    </row>
    <row r="198" spans="11:11" x14ac:dyDescent="0.3">
      <c r="K198" s="7"/>
    </row>
    <row r="199" spans="11:11" x14ac:dyDescent="0.3">
      <c r="K199" s="7"/>
    </row>
    <row r="200" spans="11:11" x14ac:dyDescent="0.3">
      <c r="K200" s="7"/>
    </row>
    <row r="201" spans="11:11" x14ac:dyDescent="0.3">
      <c r="K201" s="7"/>
    </row>
    <row r="202" spans="11:11" x14ac:dyDescent="0.3">
      <c r="K202" s="7"/>
    </row>
    <row r="203" spans="11:11" x14ac:dyDescent="0.3">
      <c r="K203" s="7"/>
    </row>
    <row r="204" spans="11:11" x14ac:dyDescent="0.3">
      <c r="K204" s="7"/>
    </row>
    <row r="205" spans="11:11" x14ac:dyDescent="0.3">
      <c r="K205" s="7"/>
    </row>
    <row r="206" spans="11:11" x14ac:dyDescent="0.3">
      <c r="K206" s="7"/>
    </row>
    <row r="207" spans="11:11" x14ac:dyDescent="0.3">
      <c r="K207" s="7"/>
    </row>
    <row r="208" spans="11:11" x14ac:dyDescent="0.3">
      <c r="K208" s="7"/>
    </row>
    <row r="209" spans="11:11" x14ac:dyDescent="0.3">
      <c r="K209" s="7"/>
    </row>
    <row r="210" spans="11:11" x14ac:dyDescent="0.3">
      <c r="K210" s="7"/>
    </row>
    <row r="211" spans="11:11" x14ac:dyDescent="0.3">
      <c r="K211" s="7"/>
    </row>
    <row r="212" spans="11:11" x14ac:dyDescent="0.3">
      <c r="K212" s="7"/>
    </row>
    <row r="213" spans="11:11" x14ac:dyDescent="0.3">
      <c r="K213" s="7"/>
    </row>
    <row r="214" spans="11:11" x14ac:dyDescent="0.3">
      <c r="K214" s="7"/>
    </row>
    <row r="215" spans="11:11" x14ac:dyDescent="0.3">
      <c r="K215" s="7"/>
    </row>
    <row r="216" spans="11:11" x14ac:dyDescent="0.3">
      <c r="K216" s="7"/>
    </row>
    <row r="217" spans="11:11" x14ac:dyDescent="0.3">
      <c r="K217" s="7"/>
    </row>
    <row r="218" spans="11:11" x14ac:dyDescent="0.3">
      <c r="K218" s="7"/>
    </row>
    <row r="219" spans="11:11" x14ac:dyDescent="0.3">
      <c r="K219" s="7"/>
    </row>
    <row r="220" spans="11:11" x14ac:dyDescent="0.3">
      <c r="K220" s="7"/>
    </row>
    <row r="221" spans="11:11" x14ac:dyDescent="0.3">
      <c r="K221" s="7"/>
    </row>
    <row r="222" spans="11:11" x14ac:dyDescent="0.3">
      <c r="K222" s="7"/>
    </row>
    <row r="223" spans="11:11" x14ac:dyDescent="0.3">
      <c r="K223" s="7"/>
    </row>
    <row r="224" spans="11:11" x14ac:dyDescent="0.3">
      <c r="K224" s="7"/>
    </row>
    <row r="225" spans="11:11" x14ac:dyDescent="0.3">
      <c r="K225" s="7"/>
    </row>
    <row r="226" spans="11:11" x14ac:dyDescent="0.3">
      <c r="K226" s="7"/>
    </row>
    <row r="227" spans="11:11" x14ac:dyDescent="0.3">
      <c r="K227" s="7"/>
    </row>
    <row r="228" spans="11:11" x14ac:dyDescent="0.3">
      <c r="K228" s="7"/>
    </row>
    <row r="229" spans="11:11" x14ac:dyDescent="0.3">
      <c r="K229" s="7"/>
    </row>
    <row r="230" spans="11:11" x14ac:dyDescent="0.3">
      <c r="K230" s="7"/>
    </row>
    <row r="231" spans="11:11" x14ac:dyDescent="0.3">
      <c r="K231" s="7"/>
    </row>
    <row r="232" spans="11:11" x14ac:dyDescent="0.3">
      <c r="K232" s="7"/>
    </row>
    <row r="233" spans="11:11" x14ac:dyDescent="0.3">
      <c r="K233" s="7"/>
    </row>
    <row r="234" spans="11:11" x14ac:dyDescent="0.3">
      <c r="K234" s="7"/>
    </row>
    <row r="235" spans="11:11" x14ac:dyDescent="0.3">
      <c r="K235" s="7"/>
    </row>
    <row r="236" spans="11:11" x14ac:dyDescent="0.3">
      <c r="K236" s="7"/>
    </row>
    <row r="237" spans="11:11" x14ac:dyDescent="0.3">
      <c r="K237" s="7"/>
    </row>
    <row r="238" spans="11:11" x14ac:dyDescent="0.3">
      <c r="K238" s="7"/>
    </row>
    <row r="239" spans="11:11" x14ac:dyDescent="0.3">
      <c r="K239" s="7"/>
    </row>
    <row r="240" spans="11:11" x14ac:dyDescent="0.3">
      <c r="K240" s="7"/>
    </row>
    <row r="241" spans="11:11" x14ac:dyDescent="0.3">
      <c r="K241" s="7"/>
    </row>
    <row r="242" spans="11:11" x14ac:dyDescent="0.3">
      <c r="K242" s="7"/>
    </row>
    <row r="243" spans="11:11" x14ac:dyDescent="0.3">
      <c r="K243" s="7"/>
    </row>
    <row r="244" spans="11:11" x14ac:dyDescent="0.3">
      <c r="K244" s="7"/>
    </row>
    <row r="245" spans="11:11" x14ac:dyDescent="0.3">
      <c r="K245" s="7"/>
    </row>
    <row r="246" spans="11:11" x14ac:dyDescent="0.3">
      <c r="K246" s="7"/>
    </row>
    <row r="247" spans="11:11" x14ac:dyDescent="0.3">
      <c r="K247" s="7"/>
    </row>
    <row r="248" spans="11:11" x14ac:dyDescent="0.3">
      <c r="K248" s="7"/>
    </row>
    <row r="249" spans="11:11" x14ac:dyDescent="0.3">
      <c r="K249" s="7"/>
    </row>
    <row r="250" spans="11:11" x14ac:dyDescent="0.3">
      <c r="K250" s="7"/>
    </row>
    <row r="251" spans="11:11" x14ac:dyDescent="0.3">
      <c r="K251" s="7"/>
    </row>
    <row r="252" spans="11:11" x14ac:dyDescent="0.3">
      <c r="K252" s="7"/>
    </row>
    <row r="253" spans="11:11" x14ac:dyDescent="0.3">
      <c r="K253" s="7"/>
    </row>
    <row r="254" spans="11:11" x14ac:dyDescent="0.3">
      <c r="K254" s="7"/>
    </row>
    <row r="255" spans="11:11" x14ac:dyDescent="0.3">
      <c r="K255" s="7"/>
    </row>
    <row r="256" spans="11:11" x14ac:dyDescent="0.3">
      <c r="K256" s="7"/>
    </row>
    <row r="257" spans="11:11" x14ac:dyDescent="0.3">
      <c r="K257" s="7"/>
    </row>
    <row r="258" spans="11:11" x14ac:dyDescent="0.3">
      <c r="K258" s="7"/>
    </row>
    <row r="259" spans="11:11" x14ac:dyDescent="0.3">
      <c r="K259" s="7"/>
    </row>
    <row r="260" spans="11:11" x14ac:dyDescent="0.3">
      <c r="K260" s="7"/>
    </row>
    <row r="261" spans="11:11" x14ac:dyDescent="0.3">
      <c r="K261" s="7"/>
    </row>
    <row r="262" spans="11:11" x14ac:dyDescent="0.3">
      <c r="K262" s="7"/>
    </row>
    <row r="263" spans="11:11" x14ac:dyDescent="0.3">
      <c r="K263" s="7"/>
    </row>
    <row r="264" spans="11:11" x14ac:dyDescent="0.3">
      <c r="K264" s="7"/>
    </row>
    <row r="265" spans="11:11" x14ac:dyDescent="0.3">
      <c r="K265" s="7"/>
    </row>
    <row r="266" spans="11:11" x14ac:dyDescent="0.3">
      <c r="K266" s="7"/>
    </row>
    <row r="267" spans="11:11" x14ac:dyDescent="0.3">
      <c r="K267" s="7"/>
    </row>
    <row r="268" spans="11:11" x14ac:dyDescent="0.3">
      <c r="K268" s="7"/>
    </row>
    <row r="269" spans="11:11" x14ac:dyDescent="0.3">
      <c r="K269" s="7"/>
    </row>
    <row r="270" spans="11:11" x14ac:dyDescent="0.3">
      <c r="K270" s="7"/>
    </row>
    <row r="271" spans="11:11" x14ac:dyDescent="0.3">
      <c r="K271" s="7"/>
    </row>
    <row r="272" spans="11:11" x14ac:dyDescent="0.3">
      <c r="K272" s="7"/>
    </row>
    <row r="273" spans="11:11" x14ac:dyDescent="0.3">
      <c r="K273" s="7"/>
    </row>
    <row r="274" spans="11:11" x14ac:dyDescent="0.3">
      <c r="K274" s="7"/>
    </row>
    <row r="275" spans="11:11" x14ac:dyDescent="0.3">
      <c r="K275" s="7"/>
    </row>
    <row r="276" spans="11:11" x14ac:dyDescent="0.3">
      <c r="K276" s="7"/>
    </row>
    <row r="277" spans="11:11" x14ac:dyDescent="0.3">
      <c r="K277" s="7"/>
    </row>
    <row r="278" spans="11:11" x14ac:dyDescent="0.3">
      <c r="K278" s="7"/>
    </row>
    <row r="279" spans="11:11" x14ac:dyDescent="0.3">
      <c r="K279" s="7"/>
    </row>
    <row r="280" spans="11:11" x14ac:dyDescent="0.3">
      <c r="K280" s="7"/>
    </row>
    <row r="281" spans="11:11" x14ac:dyDescent="0.3">
      <c r="K281" s="7"/>
    </row>
    <row r="282" spans="11:11" x14ac:dyDescent="0.3">
      <c r="K282" s="7"/>
    </row>
    <row r="283" spans="11:11" x14ac:dyDescent="0.3">
      <c r="K283" s="7"/>
    </row>
    <row r="284" spans="11:11" x14ac:dyDescent="0.3">
      <c r="K284" s="7"/>
    </row>
    <row r="285" spans="11:11" x14ac:dyDescent="0.3">
      <c r="K285" s="7"/>
    </row>
    <row r="286" spans="11:11" x14ac:dyDescent="0.3">
      <c r="K286" s="7"/>
    </row>
    <row r="287" spans="11:11" x14ac:dyDescent="0.3">
      <c r="K287" s="7"/>
    </row>
    <row r="288" spans="11:11" x14ac:dyDescent="0.3">
      <c r="K288" s="7"/>
    </row>
    <row r="289" spans="11:11" x14ac:dyDescent="0.3">
      <c r="K289" s="7"/>
    </row>
    <row r="290" spans="11:11" x14ac:dyDescent="0.3">
      <c r="K290" s="7"/>
    </row>
    <row r="291" spans="11:11" x14ac:dyDescent="0.3">
      <c r="K291" s="7"/>
    </row>
    <row r="292" spans="11:11" x14ac:dyDescent="0.3">
      <c r="K292" s="7"/>
    </row>
    <row r="293" spans="11:11" x14ac:dyDescent="0.3">
      <c r="K293" s="7"/>
    </row>
    <row r="294" spans="11:11" x14ac:dyDescent="0.3">
      <c r="K294" s="7"/>
    </row>
    <row r="295" spans="11:11" x14ac:dyDescent="0.3">
      <c r="K295" s="7"/>
    </row>
    <row r="296" spans="11:11" x14ac:dyDescent="0.3">
      <c r="K296" s="7"/>
    </row>
    <row r="297" spans="11:11" x14ac:dyDescent="0.3">
      <c r="K297" s="7"/>
    </row>
    <row r="298" spans="11:11" x14ac:dyDescent="0.3">
      <c r="K298" s="7"/>
    </row>
    <row r="299" spans="11:11" x14ac:dyDescent="0.3">
      <c r="K299" s="7"/>
    </row>
    <row r="300" spans="11:11" x14ac:dyDescent="0.3">
      <c r="K300" s="7"/>
    </row>
    <row r="301" spans="11:11" x14ac:dyDescent="0.3">
      <c r="K301" s="7"/>
    </row>
    <row r="302" spans="11:11" x14ac:dyDescent="0.3">
      <c r="K302" s="7"/>
    </row>
    <row r="303" spans="11:11" x14ac:dyDescent="0.3">
      <c r="K303" s="7"/>
    </row>
    <row r="304" spans="11:11" x14ac:dyDescent="0.3">
      <c r="K304" s="7"/>
    </row>
    <row r="305" spans="11:11" x14ac:dyDescent="0.3">
      <c r="K305" s="7"/>
    </row>
    <row r="306" spans="11:11" x14ac:dyDescent="0.3">
      <c r="K306" s="7"/>
    </row>
    <row r="307" spans="11:11" x14ac:dyDescent="0.3">
      <c r="K307" s="7"/>
    </row>
    <row r="308" spans="11:11" x14ac:dyDescent="0.3">
      <c r="K308" s="7"/>
    </row>
    <row r="309" spans="11:11" x14ac:dyDescent="0.3">
      <c r="K309" s="7"/>
    </row>
    <row r="310" spans="11:11" x14ac:dyDescent="0.3">
      <c r="K310" s="7"/>
    </row>
    <row r="311" spans="11:11" x14ac:dyDescent="0.3">
      <c r="K311" s="7"/>
    </row>
    <row r="312" spans="11:11" x14ac:dyDescent="0.3">
      <c r="K312" s="7"/>
    </row>
    <row r="313" spans="11:11" x14ac:dyDescent="0.3">
      <c r="K313" s="7"/>
    </row>
    <row r="314" spans="11:11" x14ac:dyDescent="0.3">
      <c r="K314" s="7"/>
    </row>
    <row r="315" spans="11:11" x14ac:dyDescent="0.3">
      <c r="K315" s="7"/>
    </row>
    <row r="316" spans="11:11" x14ac:dyDescent="0.3">
      <c r="K316" s="7"/>
    </row>
    <row r="317" spans="11:11" x14ac:dyDescent="0.3">
      <c r="K317" s="7"/>
    </row>
    <row r="318" spans="11:11" x14ac:dyDescent="0.3">
      <c r="K318" s="7"/>
    </row>
    <row r="319" spans="11:11" x14ac:dyDescent="0.3">
      <c r="K319" s="7"/>
    </row>
    <row r="320" spans="11:11" x14ac:dyDescent="0.3">
      <c r="K320" s="7"/>
    </row>
    <row r="321" spans="11:11" x14ac:dyDescent="0.3">
      <c r="K321" s="7"/>
    </row>
    <row r="322" spans="11:11" x14ac:dyDescent="0.3">
      <c r="K322" s="7"/>
    </row>
    <row r="323" spans="11:11" x14ac:dyDescent="0.3">
      <c r="K323" s="7"/>
    </row>
    <row r="324" spans="11:11" x14ac:dyDescent="0.3">
      <c r="K324" s="7"/>
    </row>
    <row r="325" spans="11:11" x14ac:dyDescent="0.3">
      <c r="K325" s="7"/>
    </row>
    <row r="326" spans="11:11" x14ac:dyDescent="0.3">
      <c r="K326" s="7"/>
    </row>
    <row r="327" spans="11:11" x14ac:dyDescent="0.3">
      <c r="K327" s="7"/>
    </row>
    <row r="328" spans="11:11" x14ac:dyDescent="0.3">
      <c r="K328" s="7"/>
    </row>
    <row r="329" spans="11:11" x14ac:dyDescent="0.3">
      <c r="K329" s="7"/>
    </row>
    <row r="330" spans="11:11" x14ac:dyDescent="0.3">
      <c r="K330" s="7"/>
    </row>
    <row r="331" spans="11:11" x14ac:dyDescent="0.3">
      <c r="K331" s="7"/>
    </row>
    <row r="332" spans="11:11" x14ac:dyDescent="0.3">
      <c r="K332" s="7"/>
    </row>
    <row r="333" spans="11:11" x14ac:dyDescent="0.3">
      <c r="K333" s="7"/>
    </row>
    <row r="334" spans="11:11" x14ac:dyDescent="0.3">
      <c r="K334" s="7"/>
    </row>
    <row r="335" spans="11:11" x14ac:dyDescent="0.3">
      <c r="K335" s="7"/>
    </row>
    <row r="336" spans="11:11" x14ac:dyDescent="0.3">
      <c r="K336" s="7"/>
    </row>
    <row r="337" spans="11:11" x14ac:dyDescent="0.3">
      <c r="K337" s="7"/>
    </row>
    <row r="338" spans="11:11" x14ac:dyDescent="0.3">
      <c r="K338" s="7"/>
    </row>
    <row r="339" spans="11:11" x14ac:dyDescent="0.3">
      <c r="K339" s="7"/>
    </row>
    <row r="340" spans="11:11" x14ac:dyDescent="0.3">
      <c r="K340" s="7"/>
    </row>
    <row r="341" spans="11:11" x14ac:dyDescent="0.3">
      <c r="K341" s="7"/>
    </row>
    <row r="342" spans="11:11" x14ac:dyDescent="0.3">
      <c r="K342" s="7"/>
    </row>
    <row r="343" spans="11:11" x14ac:dyDescent="0.3">
      <c r="K343" s="7"/>
    </row>
    <row r="344" spans="11:11" x14ac:dyDescent="0.3">
      <c r="K344" s="7"/>
    </row>
    <row r="345" spans="11:11" x14ac:dyDescent="0.3">
      <c r="K345" s="7"/>
    </row>
    <row r="346" spans="11:11" x14ac:dyDescent="0.3">
      <c r="K346" s="7"/>
    </row>
    <row r="347" spans="11:11" x14ac:dyDescent="0.3">
      <c r="K347" s="7"/>
    </row>
    <row r="348" spans="11:11" x14ac:dyDescent="0.3">
      <c r="K348" s="7"/>
    </row>
    <row r="349" spans="11:11" x14ac:dyDescent="0.3">
      <c r="K349" s="7"/>
    </row>
    <row r="350" spans="11:11" x14ac:dyDescent="0.3">
      <c r="K350" s="7"/>
    </row>
    <row r="351" spans="11:11" x14ac:dyDescent="0.3">
      <c r="K351" s="7"/>
    </row>
    <row r="352" spans="11:11" x14ac:dyDescent="0.3">
      <c r="K352" s="7"/>
    </row>
    <row r="353" spans="11:11" x14ac:dyDescent="0.3">
      <c r="K353" s="7"/>
    </row>
    <row r="354" spans="11:11" x14ac:dyDescent="0.3">
      <c r="K354" s="7"/>
    </row>
    <row r="355" spans="11:11" x14ac:dyDescent="0.3">
      <c r="K355" s="7"/>
    </row>
    <row r="356" spans="11:11" x14ac:dyDescent="0.3">
      <c r="K356" s="7"/>
    </row>
    <row r="357" spans="11:11" x14ac:dyDescent="0.3">
      <c r="K357" s="7"/>
    </row>
    <row r="358" spans="11:11" x14ac:dyDescent="0.3">
      <c r="K358" s="7"/>
    </row>
    <row r="359" spans="11:11" x14ac:dyDescent="0.3">
      <c r="K359" s="7"/>
    </row>
    <row r="360" spans="11:11" x14ac:dyDescent="0.3">
      <c r="K360" s="7"/>
    </row>
    <row r="361" spans="11:11" x14ac:dyDescent="0.3">
      <c r="K361" s="7"/>
    </row>
    <row r="362" spans="11:11" x14ac:dyDescent="0.3">
      <c r="K362" s="7"/>
    </row>
    <row r="363" spans="11:11" x14ac:dyDescent="0.3">
      <c r="K363" s="7"/>
    </row>
    <row r="364" spans="11:11" x14ac:dyDescent="0.3">
      <c r="K364" s="7"/>
    </row>
    <row r="365" spans="11:11" x14ac:dyDescent="0.3">
      <c r="K365" s="7"/>
    </row>
    <row r="366" spans="11:11" x14ac:dyDescent="0.3">
      <c r="K366" s="7"/>
    </row>
    <row r="367" spans="11:11" x14ac:dyDescent="0.3">
      <c r="K367" s="7"/>
    </row>
    <row r="368" spans="11:11" x14ac:dyDescent="0.3">
      <c r="K368" s="7"/>
    </row>
    <row r="369" spans="11:11" x14ac:dyDescent="0.3">
      <c r="K369" s="7"/>
    </row>
    <row r="370" spans="11:11" x14ac:dyDescent="0.3">
      <c r="K370" s="7"/>
    </row>
    <row r="371" spans="11:11" x14ac:dyDescent="0.3">
      <c r="K371" s="7"/>
    </row>
    <row r="372" spans="11:11" x14ac:dyDescent="0.3">
      <c r="K372" s="7"/>
    </row>
    <row r="373" spans="11:11" x14ac:dyDescent="0.3">
      <c r="K373" s="7"/>
    </row>
    <row r="374" spans="11:11" x14ac:dyDescent="0.3">
      <c r="K374" s="7"/>
    </row>
    <row r="375" spans="11:11" x14ac:dyDescent="0.3">
      <c r="K375" s="7"/>
    </row>
    <row r="376" spans="11:11" x14ac:dyDescent="0.3">
      <c r="K376" s="7"/>
    </row>
    <row r="377" spans="11:11" x14ac:dyDescent="0.3">
      <c r="K377" s="7"/>
    </row>
    <row r="378" spans="11:11" x14ac:dyDescent="0.3">
      <c r="K378" s="7"/>
    </row>
    <row r="379" spans="11:11" x14ac:dyDescent="0.3">
      <c r="K379" s="7"/>
    </row>
    <row r="380" spans="11:11" x14ac:dyDescent="0.3">
      <c r="K380" s="7"/>
    </row>
    <row r="381" spans="11:11" x14ac:dyDescent="0.3">
      <c r="K381" s="7"/>
    </row>
    <row r="382" spans="11:11" x14ac:dyDescent="0.3">
      <c r="K382" s="7"/>
    </row>
    <row r="383" spans="11:11" x14ac:dyDescent="0.3">
      <c r="K383" s="7"/>
    </row>
    <row r="384" spans="11:11" x14ac:dyDescent="0.3">
      <c r="K384" s="7"/>
    </row>
    <row r="385" spans="11:11" x14ac:dyDescent="0.3">
      <c r="K385" s="7"/>
    </row>
    <row r="386" spans="11:11" x14ac:dyDescent="0.3">
      <c r="K386" s="7"/>
    </row>
    <row r="387" spans="11:11" x14ac:dyDescent="0.3">
      <c r="K387" s="7"/>
    </row>
    <row r="388" spans="11:11" x14ac:dyDescent="0.3">
      <c r="K388" s="7"/>
    </row>
    <row r="389" spans="11:11" x14ac:dyDescent="0.3">
      <c r="K389" s="7"/>
    </row>
    <row r="390" spans="11:11" x14ac:dyDescent="0.3">
      <c r="K390" s="7"/>
    </row>
    <row r="391" spans="11:11" x14ac:dyDescent="0.3">
      <c r="K391" s="7"/>
    </row>
    <row r="392" spans="11:11" x14ac:dyDescent="0.3">
      <c r="K392" s="7"/>
    </row>
    <row r="393" spans="11:11" x14ac:dyDescent="0.3">
      <c r="K393" s="7"/>
    </row>
    <row r="394" spans="11:11" x14ac:dyDescent="0.3">
      <c r="K394" s="7"/>
    </row>
    <row r="395" spans="11:11" x14ac:dyDescent="0.3">
      <c r="K395" s="7"/>
    </row>
    <row r="396" spans="11:11" x14ac:dyDescent="0.3">
      <c r="K396" s="7"/>
    </row>
    <row r="397" spans="11:11" x14ac:dyDescent="0.3">
      <c r="K397" s="7"/>
    </row>
    <row r="398" spans="11:11" x14ac:dyDescent="0.3">
      <c r="K398" s="7"/>
    </row>
    <row r="399" spans="11:11" x14ac:dyDescent="0.3">
      <c r="K399" s="7"/>
    </row>
    <row r="400" spans="11:11" x14ac:dyDescent="0.3">
      <c r="K400" s="7"/>
    </row>
    <row r="401" spans="11:11" x14ac:dyDescent="0.3">
      <c r="K401" s="7"/>
    </row>
    <row r="402" spans="11:11" x14ac:dyDescent="0.3">
      <c r="K402" s="7"/>
    </row>
    <row r="403" spans="11:11" x14ac:dyDescent="0.3">
      <c r="K403" s="7"/>
    </row>
    <row r="404" spans="11:11" x14ac:dyDescent="0.3">
      <c r="K404" s="7"/>
    </row>
    <row r="405" spans="11:11" x14ac:dyDescent="0.3">
      <c r="K405" s="7"/>
    </row>
    <row r="406" spans="11:11" x14ac:dyDescent="0.3">
      <c r="K406" s="7"/>
    </row>
    <row r="407" spans="11:11" x14ac:dyDescent="0.3">
      <c r="K407" s="7"/>
    </row>
    <row r="408" spans="11:11" x14ac:dyDescent="0.3">
      <c r="K408" s="7"/>
    </row>
    <row r="409" spans="11:11" x14ac:dyDescent="0.3">
      <c r="K409" s="7"/>
    </row>
    <row r="410" spans="11:11" x14ac:dyDescent="0.3">
      <c r="K410" s="7"/>
    </row>
    <row r="411" spans="11:11" x14ac:dyDescent="0.3">
      <c r="K411" s="7"/>
    </row>
    <row r="412" spans="11:11" x14ac:dyDescent="0.3">
      <c r="K412" s="7"/>
    </row>
    <row r="413" spans="11:11" x14ac:dyDescent="0.3">
      <c r="K413" s="7"/>
    </row>
    <row r="414" spans="11:11" x14ac:dyDescent="0.3">
      <c r="K414" s="7"/>
    </row>
    <row r="415" spans="11:11" x14ac:dyDescent="0.3">
      <c r="K415" s="7"/>
    </row>
    <row r="416" spans="11:11" x14ac:dyDescent="0.3">
      <c r="K416" s="7"/>
    </row>
    <row r="417" spans="11:11" x14ac:dyDescent="0.3">
      <c r="K417" s="7"/>
    </row>
    <row r="418" spans="11:11" x14ac:dyDescent="0.3">
      <c r="K418" s="7"/>
    </row>
    <row r="419" spans="11:11" x14ac:dyDescent="0.3">
      <c r="K419" s="7"/>
    </row>
    <row r="420" spans="11:11" x14ac:dyDescent="0.3">
      <c r="K420" s="7"/>
    </row>
    <row r="421" spans="11:11" x14ac:dyDescent="0.3">
      <c r="K421" s="7"/>
    </row>
    <row r="422" spans="11:11" x14ac:dyDescent="0.3">
      <c r="K422" s="7"/>
    </row>
    <row r="423" spans="11:11" x14ac:dyDescent="0.3">
      <c r="K423" s="7"/>
    </row>
    <row r="424" spans="11:11" x14ac:dyDescent="0.3">
      <c r="K424" s="7"/>
    </row>
    <row r="425" spans="11:11" x14ac:dyDescent="0.3">
      <c r="K425" s="7"/>
    </row>
    <row r="426" spans="11:11" x14ac:dyDescent="0.3">
      <c r="K426" s="7"/>
    </row>
    <row r="427" spans="11:11" x14ac:dyDescent="0.3">
      <c r="K427" s="7"/>
    </row>
    <row r="428" spans="11:11" x14ac:dyDescent="0.3">
      <c r="K428" s="7"/>
    </row>
    <row r="429" spans="11:11" x14ac:dyDescent="0.3">
      <c r="K429" s="7"/>
    </row>
    <row r="430" spans="11:11" x14ac:dyDescent="0.3">
      <c r="K430" s="7"/>
    </row>
    <row r="431" spans="11:11" x14ac:dyDescent="0.3">
      <c r="K431" s="7"/>
    </row>
    <row r="432" spans="11:11" x14ac:dyDescent="0.3">
      <c r="K432" s="7"/>
    </row>
    <row r="433" spans="11:11" x14ac:dyDescent="0.3">
      <c r="K433" s="7"/>
    </row>
    <row r="434" spans="11:11" x14ac:dyDescent="0.3">
      <c r="K434" s="7"/>
    </row>
    <row r="435" spans="11:11" x14ac:dyDescent="0.3">
      <c r="K435" s="7"/>
    </row>
    <row r="436" spans="11:11" x14ac:dyDescent="0.3">
      <c r="K436" s="7"/>
    </row>
    <row r="437" spans="11:11" x14ac:dyDescent="0.3">
      <c r="K437" s="7"/>
    </row>
    <row r="438" spans="11:11" x14ac:dyDescent="0.3">
      <c r="K438" s="7"/>
    </row>
    <row r="439" spans="11:11" x14ac:dyDescent="0.3">
      <c r="K439" s="7"/>
    </row>
    <row r="440" spans="11:11" x14ac:dyDescent="0.3">
      <c r="K440" s="7"/>
    </row>
    <row r="441" spans="11:11" x14ac:dyDescent="0.3">
      <c r="K441" s="7"/>
    </row>
    <row r="442" spans="11:11" x14ac:dyDescent="0.3">
      <c r="K442" s="7"/>
    </row>
    <row r="443" spans="11:11" x14ac:dyDescent="0.3">
      <c r="K443" s="7"/>
    </row>
    <row r="444" spans="11:11" x14ac:dyDescent="0.3">
      <c r="K444" s="7"/>
    </row>
    <row r="445" spans="11:11" x14ac:dyDescent="0.3">
      <c r="K445" s="7"/>
    </row>
    <row r="446" spans="11:11" x14ac:dyDescent="0.3">
      <c r="K446" s="7"/>
    </row>
    <row r="447" spans="11:11" x14ac:dyDescent="0.3">
      <c r="K447" s="7"/>
    </row>
    <row r="448" spans="11:11" x14ac:dyDescent="0.3">
      <c r="K448" s="7"/>
    </row>
    <row r="449" spans="11:11" x14ac:dyDescent="0.3">
      <c r="K449" s="7"/>
    </row>
    <row r="450" spans="11:11" x14ac:dyDescent="0.3">
      <c r="K450" s="7"/>
    </row>
    <row r="451" spans="11:11" x14ac:dyDescent="0.3">
      <c r="K451" s="7"/>
    </row>
    <row r="452" spans="11:11" x14ac:dyDescent="0.3">
      <c r="K452" s="7"/>
    </row>
    <row r="453" spans="11:11" x14ac:dyDescent="0.3">
      <c r="K453" s="7"/>
    </row>
    <row r="454" spans="11:11" x14ac:dyDescent="0.3">
      <c r="K454" s="7"/>
    </row>
    <row r="455" spans="11:11" x14ac:dyDescent="0.3">
      <c r="K455" s="7"/>
    </row>
    <row r="456" spans="11:11" x14ac:dyDescent="0.3">
      <c r="K456" s="7"/>
    </row>
    <row r="457" spans="11:11" x14ac:dyDescent="0.3">
      <c r="K457" s="7"/>
    </row>
    <row r="458" spans="11:11" x14ac:dyDescent="0.3">
      <c r="K458" s="7"/>
    </row>
    <row r="459" spans="11:11" x14ac:dyDescent="0.3">
      <c r="K459" s="7"/>
    </row>
    <row r="460" spans="11:11" x14ac:dyDescent="0.3">
      <c r="K460" s="7"/>
    </row>
    <row r="461" spans="11:11" x14ac:dyDescent="0.3">
      <c r="K461" s="7"/>
    </row>
    <row r="462" spans="11:11" x14ac:dyDescent="0.3">
      <c r="K462" s="7"/>
    </row>
    <row r="463" spans="11:11" x14ac:dyDescent="0.3">
      <c r="K463" s="7"/>
    </row>
    <row r="464" spans="11:11" x14ac:dyDescent="0.3">
      <c r="K464" s="7"/>
    </row>
    <row r="465" spans="11:11" x14ac:dyDescent="0.3">
      <c r="K465" s="7"/>
    </row>
    <row r="466" spans="11:11" x14ac:dyDescent="0.3">
      <c r="K466" s="7"/>
    </row>
    <row r="467" spans="11:11" x14ac:dyDescent="0.3">
      <c r="K467" s="7"/>
    </row>
    <row r="468" spans="11:11" x14ac:dyDescent="0.3">
      <c r="K468" s="7"/>
    </row>
    <row r="469" spans="11:11" x14ac:dyDescent="0.3">
      <c r="K469" s="7"/>
    </row>
    <row r="470" spans="11:11" x14ac:dyDescent="0.3">
      <c r="K470" s="7"/>
    </row>
    <row r="471" spans="11:11" x14ac:dyDescent="0.3">
      <c r="K471" s="7"/>
    </row>
    <row r="472" spans="11:11" x14ac:dyDescent="0.3">
      <c r="K472" s="7"/>
    </row>
    <row r="473" spans="11:11" x14ac:dyDescent="0.3">
      <c r="K473" s="7"/>
    </row>
    <row r="474" spans="11:11" x14ac:dyDescent="0.3">
      <c r="K474" s="7"/>
    </row>
    <row r="475" spans="11:11" x14ac:dyDescent="0.3">
      <c r="K475" s="7"/>
    </row>
    <row r="476" spans="11:11" x14ac:dyDescent="0.3">
      <c r="K476" s="7"/>
    </row>
    <row r="477" spans="11:11" x14ac:dyDescent="0.3">
      <c r="K477" s="7"/>
    </row>
    <row r="478" spans="11:11" x14ac:dyDescent="0.3">
      <c r="K478" s="7"/>
    </row>
    <row r="479" spans="11:11" x14ac:dyDescent="0.3">
      <c r="K479" s="7"/>
    </row>
    <row r="480" spans="11:11" x14ac:dyDescent="0.3">
      <c r="K480" s="7"/>
    </row>
    <row r="481" spans="11:11" x14ac:dyDescent="0.3">
      <c r="K481" s="7"/>
    </row>
    <row r="482" spans="11:11" x14ac:dyDescent="0.3">
      <c r="K482" s="7"/>
    </row>
    <row r="483" spans="11:11" x14ac:dyDescent="0.3">
      <c r="K483" s="7"/>
    </row>
    <row r="484" spans="11:11" x14ac:dyDescent="0.3">
      <c r="K484" s="7"/>
    </row>
    <row r="485" spans="11:11" x14ac:dyDescent="0.3">
      <c r="K485" s="7"/>
    </row>
    <row r="486" spans="11:11" x14ac:dyDescent="0.3">
      <c r="K486" s="7"/>
    </row>
    <row r="487" spans="11:11" x14ac:dyDescent="0.3">
      <c r="K487" s="7"/>
    </row>
    <row r="488" spans="11:11" x14ac:dyDescent="0.3">
      <c r="K488" s="7"/>
    </row>
    <row r="489" spans="11:11" x14ac:dyDescent="0.3">
      <c r="K489" s="7"/>
    </row>
    <row r="490" spans="11:11" x14ac:dyDescent="0.3">
      <c r="K490" s="7"/>
    </row>
    <row r="491" spans="11:11" x14ac:dyDescent="0.3">
      <c r="K491" s="7"/>
    </row>
    <row r="492" spans="11:11" x14ac:dyDescent="0.3">
      <c r="K492" s="7"/>
    </row>
    <row r="493" spans="11:11" x14ac:dyDescent="0.3">
      <c r="K493" s="7"/>
    </row>
    <row r="494" spans="11:11" x14ac:dyDescent="0.3">
      <c r="K494" s="7"/>
    </row>
    <row r="495" spans="11:11" x14ac:dyDescent="0.3">
      <c r="K495" s="7"/>
    </row>
    <row r="496" spans="11:11" x14ac:dyDescent="0.3">
      <c r="K496" s="7"/>
    </row>
    <row r="497" spans="11:11" x14ac:dyDescent="0.3">
      <c r="K497" s="7"/>
    </row>
    <row r="498" spans="11:11" x14ac:dyDescent="0.3">
      <c r="K498" s="7"/>
    </row>
    <row r="499" spans="11:11" x14ac:dyDescent="0.3">
      <c r="K499" s="7"/>
    </row>
    <row r="500" spans="11:11" x14ac:dyDescent="0.3">
      <c r="K500" s="7"/>
    </row>
    <row r="501" spans="11:11" x14ac:dyDescent="0.3">
      <c r="K501" s="7"/>
    </row>
    <row r="502" spans="11:11" x14ac:dyDescent="0.3">
      <c r="K502" s="7"/>
    </row>
    <row r="503" spans="11:11" x14ac:dyDescent="0.3">
      <c r="K503" s="7"/>
    </row>
    <row r="504" spans="11:11" x14ac:dyDescent="0.3">
      <c r="K504" s="7"/>
    </row>
    <row r="505" spans="11:11" x14ac:dyDescent="0.3">
      <c r="K505" s="7"/>
    </row>
    <row r="506" spans="11:11" x14ac:dyDescent="0.3">
      <c r="K506" s="7"/>
    </row>
    <row r="507" spans="11:11" x14ac:dyDescent="0.3">
      <c r="K507" s="7"/>
    </row>
    <row r="508" spans="11:11" x14ac:dyDescent="0.3">
      <c r="K508" s="7"/>
    </row>
    <row r="509" spans="11:11" x14ac:dyDescent="0.3">
      <c r="K509" s="7"/>
    </row>
    <row r="510" spans="11:11" x14ac:dyDescent="0.3">
      <c r="K510" s="7"/>
    </row>
    <row r="511" spans="11:11" x14ac:dyDescent="0.3">
      <c r="K511" s="7"/>
    </row>
    <row r="512" spans="11:11" x14ac:dyDescent="0.3">
      <c r="K512" s="7"/>
    </row>
    <row r="513" spans="11:11" x14ac:dyDescent="0.3">
      <c r="K513" s="7"/>
    </row>
    <row r="514" spans="11:11" x14ac:dyDescent="0.3">
      <c r="K514" s="7"/>
    </row>
    <row r="515" spans="11:11" x14ac:dyDescent="0.3">
      <c r="K515" s="7"/>
    </row>
    <row r="516" spans="11:11" x14ac:dyDescent="0.3">
      <c r="K516" s="7"/>
    </row>
    <row r="517" spans="11:11" x14ac:dyDescent="0.3">
      <c r="K517" s="7"/>
    </row>
    <row r="518" spans="11:11" x14ac:dyDescent="0.3">
      <c r="K518" s="7"/>
    </row>
    <row r="519" spans="11:11" x14ac:dyDescent="0.3">
      <c r="K519" s="7"/>
    </row>
    <row r="520" spans="11:11" x14ac:dyDescent="0.3">
      <c r="K520" s="7"/>
    </row>
    <row r="521" spans="11:11" x14ac:dyDescent="0.3">
      <c r="K521" s="7"/>
    </row>
    <row r="522" spans="11:11" x14ac:dyDescent="0.3">
      <c r="K522" s="7"/>
    </row>
    <row r="523" spans="11:11" x14ac:dyDescent="0.3">
      <c r="K523" s="7"/>
    </row>
    <row r="524" spans="11:11" x14ac:dyDescent="0.3">
      <c r="K524" s="7"/>
    </row>
    <row r="525" spans="11:11" x14ac:dyDescent="0.3">
      <c r="K525" s="7"/>
    </row>
    <row r="526" spans="11:11" x14ac:dyDescent="0.3">
      <c r="K526" s="7"/>
    </row>
    <row r="527" spans="11:11" x14ac:dyDescent="0.3">
      <c r="K527" s="7"/>
    </row>
    <row r="528" spans="11:11" x14ac:dyDescent="0.3">
      <c r="K528" s="7"/>
    </row>
    <row r="529" spans="11:11" x14ac:dyDescent="0.3">
      <c r="K529" s="7"/>
    </row>
    <row r="530" spans="11:11" x14ac:dyDescent="0.3">
      <c r="K530" s="7"/>
    </row>
    <row r="531" spans="11:11" x14ac:dyDescent="0.3">
      <c r="K531" s="7"/>
    </row>
    <row r="532" spans="11:11" x14ac:dyDescent="0.3">
      <c r="K532" s="7"/>
    </row>
    <row r="533" spans="11:11" x14ac:dyDescent="0.3">
      <c r="K533" s="7"/>
    </row>
    <row r="534" spans="11:11" x14ac:dyDescent="0.3">
      <c r="K534" s="7"/>
    </row>
    <row r="535" spans="11:11" x14ac:dyDescent="0.3">
      <c r="K535" s="7"/>
    </row>
    <row r="536" spans="11:11" x14ac:dyDescent="0.3">
      <c r="K536" s="7"/>
    </row>
    <row r="537" spans="11:11" x14ac:dyDescent="0.3">
      <c r="K537" s="7"/>
    </row>
    <row r="538" spans="11:11" x14ac:dyDescent="0.3">
      <c r="K538" s="7"/>
    </row>
    <row r="539" spans="11:11" x14ac:dyDescent="0.3">
      <c r="K539" s="7"/>
    </row>
    <row r="540" spans="11:11" x14ac:dyDescent="0.3">
      <c r="K540" s="7"/>
    </row>
    <row r="541" spans="11:11" x14ac:dyDescent="0.3">
      <c r="K541" s="7"/>
    </row>
    <row r="542" spans="11:11" x14ac:dyDescent="0.3">
      <c r="K542" s="7"/>
    </row>
    <row r="543" spans="11:11" x14ac:dyDescent="0.3">
      <c r="K543" s="7"/>
    </row>
    <row r="544" spans="11:11" x14ac:dyDescent="0.3">
      <c r="K544" s="7"/>
    </row>
    <row r="545" spans="11:11" x14ac:dyDescent="0.3">
      <c r="K545" s="7"/>
    </row>
    <row r="546" spans="11:11" x14ac:dyDescent="0.3">
      <c r="K546" s="7"/>
    </row>
    <row r="547" spans="11:11" x14ac:dyDescent="0.3">
      <c r="K547" s="7"/>
    </row>
    <row r="548" spans="11:11" x14ac:dyDescent="0.3">
      <c r="K548" s="7"/>
    </row>
    <row r="549" spans="11:11" x14ac:dyDescent="0.3">
      <c r="K549" s="7"/>
    </row>
    <row r="550" spans="11:11" x14ac:dyDescent="0.3">
      <c r="K550" s="7"/>
    </row>
    <row r="551" spans="11:11" x14ac:dyDescent="0.3">
      <c r="K551" s="7"/>
    </row>
    <row r="552" spans="11:11" x14ac:dyDescent="0.3">
      <c r="K552" s="7"/>
    </row>
    <row r="553" spans="11:11" x14ac:dyDescent="0.3">
      <c r="K553" s="7"/>
    </row>
    <row r="554" spans="11:11" x14ac:dyDescent="0.3">
      <c r="K554" s="7"/>
    </row>
    <row r="555" spans="11:11" x14ac:dyDescent="0.3">
      <c r="K555" s="7"/>
    </row>
    <row r="556" spans="11:11" x14ac:dyDescent="0.3">
      <c r="K556" s="7"/>
    </row>
    <row r="557" spans="11:11" x14ac:dyDescent="0.3">
      <c r="K557" s="7"/>
    </row>
    <row r="558" spans="11:11" x14ac:dyDescent="0.3">
      <c r="K558" s="7"/>
    </row>
    <row r="559" spans="11:11" x14ac:dyDescent="0.3">
      <c r="K559" s="7"/>
    </row>
    <row r="560" spans="11:11" x14ac:dyDescent="0.3">
      <c r="K560" s="7"/>
    </row>
    <row r="561" spans="11:11" x14ac:dyDescent="0.3">
      <c r="K561" s="7"/>
    </row>
    <row r="562" spans="11:11" x14ac:dyDescent="0.3">
      <c r="K562" s="7"/>
    </row>
    <row r="563" spans="11:11" x14ac:dyDescent="0.3">
      <c r="K563" s="7"/>
    </row>
    <row r="564" spans="11:11" x14ac:dyDescent="0.3">
      <c r="K564" s="7"/>
    </row>
    <row r="565" spans="11:11" x14ac:dyDescent="0.3">
      <c r="K565" s="7"/>
    </row>
    <row r="566" spans="11:11" x14ac:dyDescent="0.3">
      <c r="K566" s="7"/>
    </row>
    <row r="567" spans="11:11" x14ac:dyDescent="0.3">
      <c r="K567" s="7"/>
    </row>
    <row r="568" spans="11:11" x14ac:dyDescent="0.3">
      <c r="K568" s="7"/>
    </row>
    <row r="569" spans="11:11" x14ac:dyDescent="0.3">
      <c r="K569" s="7"/>
    </row>
    <row r="570" spans="11:11" x14ac:dyDescent="0.3">
      <c r="K570" s="7"/>
    </row>
    <row r="571" spans="11:11" x14ac:dyDescent="0.3">
      <c r="K571" s="7"/>
    </row>
    <row r="572" spans="11:11" x14ac:dyDescent="0.3">
      <c r="K572" s="7"/>
    </row>
    <row r="573" spans="11:11" x14ac:dyDescent="0.3">
      <c r="K573" s="7"/>
    </row>
    <row r="574" spans="11:11" x14ac:dyDescent="0.3">
      <c r="K574" s="7"/>
    </row>
    <row r="575" spans="11:11" x14ac:dyDescent="0.3">
      <c r="K575" s="7"/>
    </row>
    <row r="576" spans="11:11" x14ac:dyDescent="0.3">
      <c r="K576" s="7"/>
    </row>
    <row r="577" spans="11:11" x14ac:dyDescent="0.3">
      <c r="K577" s="7"/>
    </row>
    <row r="578" spans="11:11" x14ac:dyDescent="0.3">
      <c r="K578" s="7"/>
    </row>
    <row r="579" spans="11:11" x14ac:dyDescent="0.3">
      <c r="K579" s="7"/>
    </row>
    <row r="580" spans="11:11" x14ac:dyDescent="0.3">
      <c r="K580" s="7"/>
    </row>
    <row r="581" spans="11:11" x14ac:dyDescent="0.3">
      <c r="K581" s="7"/>
    </row>
    <row r="582" spans="11:11" x14ac:dyDescent="0.3">
      <c r="K582" s="7"/>
    </row>
    <row r="583" spans="11:11" x14ac:dyDescent="0.3">
      <c r="K583" s="7"/>
    </row>
    <row r="584" spans="11:11" x14ac:dyDescent="0.3">
      <c r="K584" s="7"/>
    </row>
    <row r="585" spans="11:11" x14ac:dyDescent="0.3">
      <c r="K585" s="7"/>
    </row>
    <row r="586" spans="11:11" x14ac:dyDescent="0.3">
      <c r="K586" s="7"/>
    </row>
    <row r="587" spans="11:11" x14ac:dyDescent="0.3">
      <c r="K587" s="7"/>
    </row>
    <row r="588" spans="11:11" x14ac:dyDescent="0.3">
      <c r="K588" s="7"/>
    </row>
    <row r="589" spans="11:11" x14ac:dyDescent="0.3">
      <c r="K589" s="7"/>
    </row>
    <row r="590" spans="11:11" x14ac:dyDescent="0.3">
      <c r="K590" s="7"/>
    </row>
    <row r="591" spans="11:11" x14ac:dyDescent="0.3">
      <c r="K591" s="7"/>
    </row>
    <row r="592" spans="11:11" x14ac:dyDescent="0.3">
      <c r="K592" s="7"/>
    </row>
    <row r="593" spans="11:11" x14ac:dyDescent="0.3">
      <c r="K593" s="7"/>
    </row>
    <row r="594" spans="11:11" x14ac:dyDescent="0.3">
      <c r="K594" s="7"/>
    </row>
    <row r="595" spans="11:11" x14ac:dyDescent="0.3">
      <c r="K595" s="7"/>
    </row>
    <row r="596" spans="11:11" x14ac:dyDescent="0.3">
      <c r="K596" s="7"/>
    </row>
    <row r="597" spans="11:11" x14ac:dyDescent="0.3">
      <c r="K597" s="7"/>
    </row>
    <row r="598" spans="11:11" x14ac:dyDescent="0.3">
      <c r="K598" s="7"/>
    </row>
    <row r="599" spans="11:11" x14ac:dyDescent="0.3">
      <c r="K599" s="7"/>
    </row>
    <row r="600" spans="11:11" x14ac:dyDescent="0.3">
      <c r="K600" s="7"/>
    </row>
    <row r="601" spans="11:11" x14ac:dyDescent="0.3">
      <c r="K601" s="7"/>
    </row>
    <row r="602" spans="11:11" x14ac:dyDescent="0.3">
      <c r="K602" s="7"/>
    </row>
    <row r="603" spans="11:11" x14ac:dyDescent="0.3">
      <c r="K603" s="7"/>
    </row>
    <row r="604" spans="11:11" x14ac:dyDescent="0.3">
      <c r="K604" s="7"/>
    </row>
    <row r="605" spans="11:11" x14ac:dyDescent="0.3">
      <c r="K605" s="7"/>
    </row>
    <row r="606" spans="11:11" x14ac:dyDescent="0.3">
      <c r="K606" s="7"/>
    </row>
    <row r="607" spans="11:11" x14ac:dyDescent="0.3">
      <c r="K607" s="7"/>
    </row>
    <row r="608" spans="11:11" x14ac:dyDescent="0.3">
      <c r="K608" s="7"/>
    </row>
    <row r="609" spans="11:11" x14ac:dyDescent="0.3">
      <c r="K609" s="7"/>
    </row>
    <row r="610" spans="11:11" x14ac:dyDescent="0.3">
      <c r="K610" s="7"/>
    </row>
    <row r="611" spans="11:11" x14ac:dyDescent="0.3">
      <c r="K611" s="7"/>
    </row>
    <row r="612" spans="11:11" x14ac:dyDescent="0.3">
      <c r="K612" s="7"/>
    </row>
    <row r="613" spans="11:11" x14ac:dyDescent="0.3">
      <c r="K613" s="7"/>
    </row>
    <row r="614" spans="11:11" x14ac:dyDescent="0.3">
      <c r="K614" s="7"/>
    </row>
    <row r="615" spans="11:11" x14ac:dyDescent="0.3">
      <c r="K615" s="7"/>
    </row>
    <row r="616" spans="11:11" x14ac:dyDescent="0.3">
      <c r="K616" s="7"/>
    </row>
    <row r="617" spans="11:11" x14ac:dyDescent="0.3">
      <c r="K617" s="7"/>
    </row>
    <row r="618" spans="11:11" x14ac:dyDescent="0.3">
      <c r="K618" s="7"/>
    </row>
    <row r="619" spans="11:11" x14ac:dyDescent="0.3">
      <c r="K619" s="7"/>
    </row>
    <row r="620" spans="11:11" x14ac:dyDescent="0.3">
      <c r="K620" s="7"/>
    </row>
    <row r="621" spans="11:11" x14ac:dyDescent="0.3">
      <c r="K621" s="7"/>
    </row>
    <row r="622" spans="11:11" x14ac:dyDescent="0.3">
      <c r="K622" s="7"/>
    </row>
    <row r="623" spans="11:11" x14ac:dyDescent="0.3">
      <c r="K623" s="7"/>
    </row>
    <row r="624" spans="11:11" x14ac:dyDescent="0.3">
      <c r="K624" s="7"/>
    </row>
    <row r="625" spans="11:11" x14ac:dyDescent="0.3">
      <c r="K625" s="7"/>
    </row>
    <row r="626" spans="11:11" x14ac:dyDescent="0.3">
      <c r="K626" s="7"/>
    </row>
    <row r="627" spans="11:11" x14ac:dyDescent="0.3">
      <c r="K627" s="7"/>
    </row>
    <row r="628" spans="11:11" x14ac:dyDescent="0.3">
      <c r="K628" s="7"/>
    </row>
    <row r="629" spans="11:11" x14ac:dyDescent="0.3">
      <c r="K629" s="7"/>
    </row>
    <row r="630" spans="11:11" x14ac:dyDescent="0.3">
      <c r="K630" s="7"/>
    </row>
    <row r="631" spans="11:11" x14ac:dyDescent="0.3">
      <c r="K631" s="7"/>
    </row>
    <row r="632" spans="11:11" x14ac:dyDescent="0.3">
      <c r="K632" s="7"/>
    </row>
    <row r="633" spans="11:11" x14ac:dyDescent="0.3">
      <c r="K633" s="7"/>
    </row>
    <row r="634" spans="11:11" x14ac:dyDescent="0.3">
      <c r="K634" s="7"/>
    </row>
    <row r="635" spans="11:11" x14ac:dyDescent="0.3">
      <c r="K635" s="7"/>
    </row>
    <row r="636" spans="11:11" x14ac:dyDescent="0.3">
      <c r="K636" s="7"/>
    </row>
    <row r="637" spans="11:11" x14ac:dyDescent="0.3">
      <c r="K637" s="7"/>
    </row>
    <row r="638" spans="11:11" x14ac:dyDescent="0.3">
      <c r="K638" s="7"/>
    </row>
    <row r="639" spans="11:11" x14ac:dyDescent="0.3">
      <c r="K639" s="7"/>
    </row>
    <row r="640" spans="11:11" x14ac:dyDescent="0.3">
      <c r="K640" s="7"/>
    </row>
    <row r="641" spans="11:11" x14ac:dyDescent="0.3">
      <c r="K641" s="7"/>
    </row>
    <row r="642" spans="11:11" x14ac:dyDescent="0.3">
      <c r="K642" s="7"/>
    </row>
    <row r="643" spans="11:11" x14ac:dyDescent="0.3">
      <c r="K643" s="7"/>
    </row>
    <row r="644" spans="11:11" x14ac:dyDescent="0.3">
      <c r="K644" s="7"/>
    </row>
    <row r="645" spans="11:11" x14ac:dyDescent="0.3">
      <c r="K645" s="7"/>
    </row>
    <row r="646" spans="11:11" x14ac:dyDescent="0.3">
      <c r="K646" s="7"/>
    </row>
    <row r="647" spans="11:11" x14ac:dyDescent="0.3">
      <c r="K647" s="7"/>
    </row>
    <row r="648" spans="11:11" x14ac:dyDescent="0.3">
      <c r="K648" s="7"/>
    </row>
    <row r="649" spans="11:11" x14ac:dyDescent="0.3">
      <c r="K649" s="7"/>
    </row>
    <row r="650" spans="11:11" x14ac:dyDescent="0.3">
      <c r="K650" s="7"/>
    </row>
    <row r="651" spans="11:11" x14ac:dyDescent="0.3">
      <c r="K651" s="7"/>
    </row>
    <row r="652" spans="11:11" x14ac:dyDescent="0.3">
      <c r="K652" s="7"/>
    </row>
    <row r="653" spans="11:11" x14ac:dyDescent="0.3">
      <c r="K653" s="7"/>
    </row>
    <row r="654" spans="11:11" x14ac:dyDescent="0.3">
      <c r="K654" s="7"/>
    </row>
    <row r="655" spans="11:11" x14ac:dyDescent="0.3">
      <c r="K655" s="7"/>
    </row>
    <row r="656" spans="11:11" x14ac:dyDescent="0.3">
      <c r="K656" s="7"/>
    </row>
    <row r="657" spans="11:11" x14ac:dyDescent="0.3">
      <c r="K657" s="7"/>
    </row>
    <row r="658" spans="11:11" x14ac:dyDescent="0.3">
      <c r="K658" s="7"/>
    </row>
    <row r="659" spans="11:11" x14ac:dyDescent="0.3">
      <c r="K659" s="7"/>
    </row>
    <row r="660" spans="11:11" x14ac:dyDescent="0.3">
      <c r="K660" s="7"/>
    </row>
    <row r="661" spans="11:11" x14ac:dyDescent="0.3">
      <c r="K661" s="7"/>
    </row>
    <row r="662" spans="11:11" x14ac:dyDescent="0.3">
      <c r="K662" s="7"/>
    </row>
    <row r="663" spans="11:11" x14ac:dyDescent="0.3">
      <c r="K663" s="7"/>
    </row>
    <row r="664" spans="11:11" x14ac:dyDescent="0.3">
      <c r="K664" s="7"/>
    </row>
    <row r="665" spans="11:11" x14ac:dyDescent="0.3">
      <c r="K665" s="7"/>
    </row>
    <row r="666" spans="11:11" x14ac:dyDescent="0.3">
      <c r="K666" s="7"/>
    </row>
    <row r="667" spans="11:11" x14ac:dyDescent="0.3">
      <c r="K667" s="7"/>
    </row>
    <row r="668" spans="11:11" x14ac:dyDescent="0.3">
      <c r="K668" s="7"/>
    </row>
    <row r="669" spans="11:11" x14ac:dyDescent="0.3">
      <c r="K669" s="7"/>
    </row>
    <row r="670" spans="11:11" x14ac:dyDescent="0.3">
      <c r="K670" s="7"/>
    </row>
    <row r="671" spans="11:11" x14ac:dyDescent="0.3">
      <c r="K671" s="7"/>
    </row>
    <row r="672" spans="11:11" x14ac:dyDescent="0.3">
      <c r="K672" s="7"/>
    </row>
    <row r="673" spans="11:11" x14ac:dyDescent="0.3">
      <c r="K673" s="7"/>
    </row>
    <row r="674" spans="11:11" x14ac:dyDescent="0.3">
      <c r="K674" s="7"/>
    </row>
    <row r="675" spans="11:11" x14ac:dyDescent="0.3">
      <c r="K675" s="7"/>
    </row>
    <row r="676" spans="11:11" x14ac:dyDescent="0.3">
      <c r="K676" s="7"/>
    </row>
    <row r="677" spans="11:11" x14ac:dyDescent="0.3">
      <c r="K677" s="7"/>
    </row>
    <row r="678" spans="11:11" x14ac:dyDescent="0.3">
      <c r="K678" s="7"/>
    </row>
    <row r="679" spans="11:11" x14ac:dyDescent="0.3">
      <c r="K679" s="7"/>
    </row>
    <row r="680" spans="11:11" x14ac:dyDescent="0.3">
      <c r="K680" s="7"/>
    </row>
    <row r="681" spans="11:11" x14ac:dyDescent="0.3">
      <c r="K681" s="7"/>
    </row>
    <row r="682" spans="11:11" x14ac:dyDescent="0.3">
      <c r="K682" s="7"/>
    </row>
    <row r="683" spans="11:11" x14ac:dyDescent="0.3">
      <c r="K683" s="7"/>
    </row>
    <row r="684" spans="11:11" x14ac:dyDescent="0.3">
      <c r="K684" s="7"/>
    </row>
    <row r="685" spans="11:11" x14ac:dyDescent="0.3">
      <c r="K685" s="7"/>
    </row>
    <row r="686" spans="11:11" x14ac:dyDescent="0.3">
      <c r="K686" s="7"/>
    </row>
    <row r="687" spans="11:11" x14ac:dyDescent="0.3">
      <c r="K687" s="7"/>
    </row>
    <row r="688" spans="11:11" x14ac:dyDescent="0.3">
      <c r="K688" s="7"/>
    </row>
    <row r="689" spans="11:11" x14ac:dyDescent="0.3">
      <c r="K689" s="7"/>
    </row>
    <row r="690" spans="11:11" x14ac:dyDescent="0.3">
      <c r="K690" s="7"/>
    </row>
    <row r="691" spans="11:11" x14ac:dyDescent="0.3">
      <c r="K691" s="7"/>
    </row>
    <row r="692" spans="11:11" x14ac:dyDescent="0.3">
      <c r="K692" s="7"/>
    </row>
    <row r="693" spans="11:11" x14ac:dyDescent="0.3">
      <c r="K693" s="7"/>
    </row>
    <row r="694" spans="11:11" x14ac:dyDescent="0.3">
      <c r="K694" s="7"/>
    </row>
    <row r="695" spans="11:11" x14ac:dyDescent="0.3">
      <c r="K695" s="7"/>
    </row>
    <row r="696" spans="11:11" x14ac:dyDescent="0.3">
      <c r="K696" s="7"/>
    </row>
    <row r="697" spans="11:11" x14ac:dyDescent="0.3">
      <c r="K697" s="7"/>
    </row>
    <row r="698" spans="11:11" x14ac:dyDescent="0.3">
      <c r="K698" s="7"/>
    </row>
    <row r="699" spans="11:11" x14ac:dyDescent="0.3">
      <c r="K699" s="7"/>
    </row>
    <row r="700" spans="11:11" x14ac:dyDescent="0.3">
      <c r="K700" s="7"/>
    </row>
    <row r="701" spans="11:11" x14ac:dyDescent="0.3">
      <c r="K701" s="7"/>
    </row>
    <row r="702" spans="11:11" x14ac:dyDescent="0.3">
      <c r="K702" s="7"/>
    </row>
    <row r="703" spans="11:11" x14ac:dyDescent="0.3">
      <c r="K703" s="7"/>
    </row>
    <row r="704" spans="11:11" x14ac:dyDescent="0.3">
      <c r="K704" s="7"/>
    </row>
    <row r="705" spans="11:11" x14ac:dyDescent="0.3">
      <c r="K705" s="7"/>
    </row>
    <row r="706" spans="11:11" x14ac:dyDescent="0.3">
      <c r="K706" s="7"/>
    </row>
    <row r="707" spans="11:11" x14ac:dyDescent="0.3">
      <c r="K707" s="7"/>
    </row>
    <row r="708" spans="11:11" x14ac:dyDescent="0.3">
      <c r="K708" s="7"/>
    </row>
    <row r="709" spans="11:11" x14ac:dyDescent="0.3">
      <c r="K709" s="7"/>
    </row>
    <row r="710" spans="11:11" x14ac:dyDescent="0.3">
      <c r="K710" s="7"/>
    </row>
    <row r="711" spans="11:11" x14ac:dyDescent="0.3">
      <c r="K711" s="7"/>
    </row>
    <row r="712" spans="11:11" x14ac:dyDescent="0.3">
      <c r="K712" s="7"/>
    </row>
    <row r="713" spans="11:11" x14ac:dyDescent="0.3">
      <c r="K713" s="7"/>
    </row>
    <row r="714" spans="11:11" x14ac:dyDescent="0.3">
      <c r="K714" s="7"/>
    </row>
    <row r="715" spans="11:11" x14ac:dyDescent="0.3">
      <c r="K715" s="7"/>
    </row>
    <row r="716" spans="11:11" x14ac:dyDescent="0.3">
      <c r="K716" s="7"/>
    </row>
    <row r="717" spans="11:11" x14ac:dyDescent="0.3">
      <c r="K717" s="7"/>
    </row>
    <row r="718" spans="11:11" x14ac:dyDescent="0.3">
      <c r="K718" s="7"/>
    </row>
    <row r="719" spans="11:11" x14ac:dyDescent="0.3">
      <c r="K719" s="7"/>
    </row>
    <row r="720" spans="11:11" x14ac:dyDescent="0.3">
      <c r="K720" s="7"/>
    </row>
    <row r="721" spans="11:11" x14ac:dyDescent="0.3">
      <c r="K721" s="7"/>
    </row>
    <row r="722" spans="11:11" x14ac:dyDescent="0.3">
      <c r="K722" s="7"/>
    </row>
    <row r="723" spans="11:11" x14ac:dyDescent="0.3">
      <c r="K723" s="7"/>
    </row>
    <row r="724" spans="11:11" x14ac:dyDescent="0.3">
      <c r="K724" s="7"/>
    </row>
    <row r="725" spans="11:11" x14ac:dyDescent="0.3">
      <c r="K725" s="7"/>
    </row>
    <row r="726" spans="11:11" x14ac:dyDescent="0.3">
      <c r="K726" s="7"/>
    </row>
    <row r="727" spans="11:11" x14ac:dyDescent="0.3">
      <c r="K727" s="7"/>
    </row>
    <row r="728" spans="11:11" x14ac:dyDescent="0.3">
      <c r="K728" s="7"/>
    </row>
    <row r="729" spans="11:11" x14ac:dyDescent="0.3">
      <c r="K729" s="7"/>
    </row>
    <row r="730" spans="11:11" x14ac:dyDescent="0.3">
      <c r="K730" s="7"/>
    </row>
    <row r="731" spans="11:11" x14ac:dyDescent="0.3">
      <c r="K731" s="7"/>
    </row>
    <row r="732" spans="11:11" x14ac:dyDescent="0.3">
      <c r="K732" s="7"/>
    </row>
    <row r="733" spans="11:11" x14ac:dyDescent="0.3">
      <c r="K733" s="7"/>
    </row>
    <row r="734" spans="11:11" x14ac:dyDescent="0.3">
      <c r="K734" s="7"/>
    </row>
    <row r="735" spans="11:11" x14ac:dyDescent="0.3">
      <c r="K735" s="7"/>
    </row>
    <row r="736" spans="11:11" x14ac:dyDescent="0.3">
      <c r="K736" s="7"/>
    </row>
    <row r="737" spans="11:11" x14ac:dyDescent="0.3">
      <c r="K737" s="7"/>
    </row>
    <row r="738" spans="11:11" x14ac:dyDescent="0.3">
      <c r="K738" s="7"/>
    </row>
    <row r="739" spans="11:11" x14ac:dyDescent="0.3">
      <c r="K739" s="7"/>
    </row>
    <row r="740" spans="11:11" x14ac:dyDescent="0.3">
      <c r="K740" s="7"/>
    </row>
    <row r="741" spans="11:11" x14ac:dyDescent="0.3">
      <c r="K741" s="7"/>
    </row>
    <row r="742" spans="11:11" x14ac:dyDescent="0.3">
      <c r="K742" s="7"/>
    </row>
    <row r="743" spans="11:11" x14ac:dyDescent="0.3">
      <c r="K743" s="7"/>
    </row>
    <row r="744" spans="11:11" x14ac:dyDescent="0.3">
      <c r="K744" s="7"/>
    </row>
    <row r="745" spans="11:11" x14ac:dyDescent="0.3">
      <c r="K745" s="7"/>
    </row>
    <row r="746" spans="11:11" x14ac:dyDescent="0.3">
      <c r="K746" s="7"/>
    </row>
    <row r="747" spans="11:11" x14ac:dyDescent="0.3">
      <c r="K747" s="7"/>
    </row>
    <row r="748" spans="11:11" x14ac:dyDescent="0.3">
      <c r="K748" s="7"/>
    </row>
    <row r="749" spans="11:11" x14ac:dyDescent="0.3">
      <c r="K749" s="7"/>
    </row>
    <row r="750" spans="11:11" x14ac:dyDescent="0.3">
      <c r="K750" s="7"/>
    </row>
    <row r="751" spans="11:11" x14ac:dyDescent="0.3">
      <c r="K751" s="7"/>
    </row>
    <row r="752" spans="11:11" x14ac:dyDescent="0.3">
      <c r="K752" s="7"/>
    </row>
    <row r="753" spans="11:11" x14ac:dyDescent="0.3">
      <c r="K753" s="7"/>
    </row>
    <row r="754" spans="11:11" x14ac:dyDescent="0.3">
      <c r="K754" s="7"/>
    </row>
    <row r="755" spans="11:11" x14ac:dyDescent="0.3">
      <c r="K755" s="7"/>
    </row>
    <row r="756" spans="11:11" x14ac:dyDescent="0.3">
      <c r="K756" s="7"/>
    </row>
    <row r="757" spans="11:11" x14ac:dyDescent="0.3">
      <c r="K757" s="7"/>
    </row>
    <row r="758" spans="11:11" x14ac:dyDescent="0.3">
      <c r="K758" s="7"/>
    </row>
    <row r="759" spans="11:11" x14ac:dyDescent="0.3">
      <c r="K759" s="7"/>
    </row>
    <row r="760" spans="11:11" x14ac:dyDescent="0.3">
      <c r="K760" s="7"/>
    </row>
    <row r="761" spans="11:11" x14ac:dyDescent="0.3">
      <c r="K761" s="7"/>
    </row>
    <row r="762" spans="11:11" x14ac:dyDescent="0.3">
      <c r="K762" s="7"/>
    </row>
    <row r="763" spans="11:11" x14ac:dyDescent="0.3">
      <c r="K763" s="7"/>
    </row>
    <row r="764" spans="11:11" x14ac:dyDescent="0.3">
      <c r="K764" s="7"/>
    </row>
    <row r="765" spans="11:11" x14ac:dyDescent="0.3">
      <c r="K765" s="7"/>
    </row>
    <row r="766" spans="11:11" x14ac:dyDescent="0.3">
      <c r="K766" s="7"/>
    </row>
    <row r="767" spans="11:11" x14ac:dyDescent="0.3">
      <c r="K767" s="7"/>
    </row>
    <row r="768" spans="11:11" x14ac:dyDescent="0.3">
      <c r="K768" s="7"/>
    </row>
    <row r="769" spans="11:11" x14ac:dyDescent="0.3">
      <c r="K769" s="7"/>
    </row>
    <row r="770" spans="11:11" x14ac:dyDescent="0.3">
      <c r="K770" s="7"/>
    </row>
    <row r="771" spans="11:11" x14ac:dyDescent="0.3">
      <c r="K771" s="7"/>
    </row>
    <row r="772" spans="11:11" x14ac:dyDescent="0.3">
      <c r="K772" s="7"/>
    </row>
    <row r="773" spans="11:11" x14ac:dyDescent="0.3">
      <c r="K773" s="7"/>
    </row>
    <row r="774" spans="11:11" x14ac:dyDescent="0.3">
      <c r="K774" s="7"/>
    </row>
    <row r="775" spans="11:11" x14ac:dyDescent="0.3">
      <c r="K775" s="7"/>
    </row>
    <row r="776" spans="11:11" x14ac:dyDescent="0.3">
      <c r="K776" s="7"/>
    </row>
    <row r="777" spans="11:11" x14ac:dyDescent="0.3">
      <c r="K777" s="7"/>
    </row>
    <row r="778" spans="11:11" x14ac:dyDescent="0.3">
      <c r="K778" s="7"/>
    </row>
    <row r="779" spans="11:11" x14ac:dyDescent="0.3">
      <c r="K779" s="7"/>
    </row>
    <row r="780" spans="11:11" x14ac:dyDescent="0.3">
      <c r="K780" s="7"/>
    </row>
    <row r="781" spans="11:11" x14ac:dyDescent="0.3">
      <c r="K781" s="7"/>
    </row>
    <row r="782" spans="11:11" x14ac:dyDescent="0.3">
      <c r="K782" s="7"/>
    </row>
    <row r="783" spans="11:11" x14ac:dyDescent="0.3">
      <c r="K783" s="7"/>
    </row>
    <row r="784" spans="11:11" x14ac:dyDescent="0.3">
      <c r="K784" s="7"/>
    </row>
    <row r="785" spans="11:11" x14ac:dyDescent="0.3">
      <c r="K785" s="7"/>
    </row>
    <row r="786" spans="11:11" x14ac:dyDescent="0.3">
      <c r="K786" s="7"/>
    </row>
    <row r="787" spans="11:11" x14ac:dyDescent="0.3">
      <c r="K787" s="7"/>
    </row>
    <row r="788" spans="11:11" x14ac:dyDescent="0.3">
      <c r="K788" s="7"/>
    </row>
    <row r="789" spans="11:11" x14ac:dyDescent="0.3">
      <c r="K789" s="7"/>
    </row>
    <row r="790" spans="11:11" x14ac:dyDescent="0.3">
      <c r="K790" s="7"/>
    </row>
    <row r="791" spans="11:11" x14ac:dyDescent="0.3">
      <c r="K791" s="7"/>
    </row>
    <row r="792" spans="11:11" x14ac:dyDescent="0.3">
      <c r="K792" s="7"/>
    </row>
    <row r="793" spans="11:11" x14ac:dyDescent="0.3">
      <c r="K793" s="7"/>
    </row>
    <row r="794" spans="11:11" x14ac:dyDescent="0.3">
      <c r="K794" s="7"/>
    </row>
    <row r="795" spans="11:11" x14ac:dyDescent="0.3">
      <c r="K795" s="7"/>
    </row>
    <row r="796" spans="11:11" x14ac:dyDescent="0.3">
      <c r="K796" s="7"/>
    </row>
    <row r="797" spans="11:11" x14ac:dyDescent="0.3">
      <c r="K797" s="7"/>
    </row>
    <row r="798" spans="11:11" x14ac:dyDescent="0.3">
      <c r="K798" s="7"/>
    </row>
    <row r="799" spans="11:11" x14ac:dyDescent="0.3">
      <c r="K799" s="7"/>
    </row>
    <row r="800" spans="11:11" x14ac:dyDescent="0.3">
      <c r="K800" s="7"/>
    </row>
    <row r="801" spans="11:11" x14ac:dyDescent="0.3">
      <c r="K801" s="7"/>
    </row>
    <row r="802" spans="11:11" x14ac:dyDescent="0.3">
      <c r="K802" s="7"/>
    </row>
    <row r="803" spans="11:11" x14ac:dyDescent="0.3">
      <c r="K803" s="7"/>
    </row>
    <row r="804" spans="11:11" x14ac:dyDescent="0.3">
      <c r="K804" s="7"/>
    </row>
    <row r="805" spans="11:11" x14ac:dyDescent="0.3">
      <c r="K805" s="7"/>
    </row>
    <row r="806" spans="11:11" x14ac:dyDescent="0.3">
      <c r="K806" s="7"/>
    </row>
    <row r="807" spans="11:11" x14ac:dyDescent="0.3">
      <c r="K807" s="7"/>
    </row>
    <row r="808" spans="11:11" x14ac:dyDescent="0.3">
      <c r="K808" s="7"/>
    </row>
    <row r="809" spans="11:11" x14ac:dyDescent="0.3">
      <c r="K809" s="7"/>
    </row>
    <row r="810" spans="11:11" x14ac:dyDescent="0.3">
      <c r="K810" s="7"/>
    </row>
    <row r="811" spans="11:11" x14ac:dyDescent="0.3">
      <c r="K811" s="7"/>
    </row>
    <row r="812" spans="11:11" x14ac:dyDescent="0.3">
      <c r="K812" s="7"/>
    </row>
    <row r="813" spans="11:11" x14ac:dyDescent="0.3">
      <c r="K813" s="7"/>
    </row>
    <row r="814" spans="11:11" x14ac:dyDescent="0.3">
      <c r="K814" s="7"/>
    </row>
    <row r="815" spans="11:11" x14ac:dyDescent="0.3">
      <c r="K815" s="7"/>
    </row>
    <row r="816" spans="11:11" x14ac:dyDescent="0.3">
      <c r="K816" s="7"/>
    </row>
    <row r="817" spans="11:11" x14ac:dyDescent="0.3">
      <c r="K817" s="7"/>
    </row>
    <row r="818" spans="11:11" x14ac:dyDescent="0.3">
      <c r="K818" s="7"/>
    </row>
    <row r="819" spans="11:11" x14ac:dyDescent="0.3">
      <c r="K819" s="7"/>
    </row>
    <row r="820" spans="11:11" x14ac:dyDescent="0.3">
      <c r="K820" s="7"/>
    </row>
    <row r="821" spans="11:11" x14ac:dyDescent="0.3">
      <c r="K821" s="7"/>
    </row>
    <row r="822" spans="11:11" x14ac:dyDescent="0.3">
      <c r="K822" s="7"/>
    </row>
    <row r="823" spans="11:11" x14ac:dyDescent="0.3">
      <c r="K823" s="7"/>
    </row>
    <row r="824" spans="11:11" x14ac:dyDescent="0.3">
      <c r="K824" s="7"/>
    </row>
    <row r="825" spans="11:11" x14ac:dyDescent="0.3">
      <c r="K825" s="7"/>
    </row>
    <row r="826" spans="11:11" x14ac:dyDescent="0.3">
      <c r="K826" s="7"/>
    </row>
    <row r="827" spans="11:11" x14ac:dyDescent="0.3">
      <c r="K827" s="7"/>
    </row>
    <row r="828" spans="11:11" x14ac:dyDescent="0.3">
      <c r="K828" s="7"/>
    </row>
    <row r="829" spans="11:11" x14ac:dyDescent="0.3">
      <c r="K829" s="7"/>
    </row>
    <row r="830" spans="11:11" x14ac:dyDescent="0.3">
      <c r="K830" s="7"/>
    </row>
    <row r="831" spans="11:11" x14ac:dyDescent="0.3">
      <c r="K831" s="7"/>
    </row>
    <row r="832" spans="11:11" x14ac:dyDescent="0.3">
      <c r="K832" s="7"/>
    </row>
    <row r="833" spans="11:11" x14ac:dyDescent="0.3">
      <c r="K833" s="7"/>
    </row>
    <row r="834" spans="11:11" x14ac:dyDescent="0.3">
      <c r="K834" s="7"/>
    </row>
    <row r="835" spans="11:11" x14ac:dyDescent="0.3">
      <c r="K835" s="7"/>
    </row>
    <row r="836" spans="11:11" x14ac:dyDescent="0.3">
      <c r="K836" s="7"/>
    </row>
    <row r="837" spans="11:11" x14ac:dyDescent="0.3">
      <c r="K837" s="7"/>
    </row>
    <row r="838" spans="11:11" x14ac:dyDescent="0.3">
      <c r="K838" s="7"/>
    </row>
    <row r="839" spans="11:11" x14ac:dyDescent="0.3">
      <c r="K839" s="7"/>
    </row>
    <row r="840" spans="11:11" x14ac:dyDescent="0.3">
      <c r="K840" s="7"/>
    </row>
    <row r="841" spans="11:11" x14ac:dyDescent="0.3">
      <c r="K841" s="7"/>
    </row>
    <row r="842" spans="11:11" x14ac:dyDescent="0.3">
      <c r="K842" s="7"/>
    </row>
    <row r="843" spans="11:11" x14ac:dyDescent="0.3">
      <c r="K843" s="7"/>
    </row>
    <row r="844" spans="11:11" x14ac:dyDescent="0.3">
      <c r="K844" s="7"/>
    </row>
    <row r="845" spans="11:11" x14ac:dyDescent="0.3">
      <c r="K845" s="7"/>
    </row>
    <row r="846" spans="11:11" x14ac:dyDescent="0.3">
      <c r="K846" s="7"/>
    </row>
    <row r="847" spans="11:11" x14ac:dyDescent="0.3">
      <c r="K847" s="7"/>
    </row>
    <row r="848" spans="11:11" x14ac:dyDescent="0.3">
      <c r="K848" s="7"/>
    </row>
    <row r="849" spans="11:11" x14ac:dyDescent="0.3">
      <c r="K849" s="7"/>
    </row>
    <row r="850" spans="11:11" x14ac:dyDescent="0.3">
      <c r="K850" s="7"/>
    </row>
    <row r="851" spans="11:11" x14ac:dyDescent="0.3">
      <c r="K851" s="7"/>
    </row>
    <row r="852" spans="11:11" x14ac:dyDescent="0.3">
      <c r="K852" s="7"/>
    </row>
    <row r="853" spans="11:11" x14ac:dyDescent="0.3">
      <c r="K853" s="7"/>
    </row>
    <row r="854" spans="11:11" x14ac:dyDescent="0.3">
      <c r="K854" s="7"/>
    </row>
    <row r="855" spans="11:11" x14ac:dyDescent="0.3">
      <c r="K855" s="7"/>
    </row>
    <row r="856" spans="11:11" x14ac:dyDescent="0.3">
      <c r="K856" s="7"/>
    </row>
    <row r="857" spans="11:11" x14ac:dyDescent="0.3">
      <c r="K857" s="7"/>
    </row>
    <row r="858" spans="11:11" x14ac:dyDescent="0.3">
      <c r="K858" s="7"/>
    </row>
    <row r="859" spans="11:11" x14ac:dyDescent="0.3">
      <c r="K859" s="7"/>
    </row>
    <row r="860" spans="11:11" x14ac:dyDescent="0.3">
      <c r="K860" s="7"/>
    </row>
    <row r="861" spans="11:11" x14ac:dyDescent="0.3">
      <c r="K861" s="7"/>
    </row>
    <row r="862" spans="11:11" x14ac:dyDescent="0.3">
      <c r="K862" s="7"/>
    </row>
    <row r="863" spans="11:11" x14ac:dyDescent="0.3">
      <c r="K863" s="7"/>
    </row>
    <row r="864" spans="11:11" x14ac:dyDescent="0.3">
      <c r="K864" s="7"/>
    </row>
    <row r="865" spans="11:11" x14ac:dyDescent="0.3">
      <c r="K865" s="7"/>
    </row>
    <row r="866" spans="11:11" x14ac:dyDescent="0.3">
      <c r="K866" s="7"/>
    </row>
    <row r="867" spans="11:11" x14ac:dyDescent="0.3">
      <c r="K867" s="7"/>
    </row>
    <row r="868" spans="11:11" x14ac:dyDescent="0.3">
      <c r="K868" s="7"/>
    </row>
    <row r="869" spans="11:11" x14ac:dyDescent="0.3">
      <c r="K869" s="7"/>
    </row>
    <row r="870" spans="11:11" x14ac:dyDescent="0.3">
      <c r="K870" s="7"/>
    </row>
    <row r="871" spans="11:11" x14ac:dyDescent="0.3">
      <c r="K871" s="7"/>
    </row>
    <row r="872" spans="11:11" x14ac:dyDescent="0.3">
      <c r="K872" s="7"/>
    </row>
    <row r="873" spans="11:11" x14ac:dyDescent="0.3">
      <c r="K873" s="7"/>
    </row>
    <row r="874" spans="11:11" x14ac:dyDescent="0.3">
      <c r="K874" s="7"/>
    </row>
    <row r="875" spans="11:11" x14ac:dyDescent="0.3">
      <c r="K875" s="7"/>
    </row>
    <row r="876" spans="11:11" x14ac:dyDescent="0.3">
      <c r="K876" s="7"/>
    </row>
    <row r="877" spans="11:11" x14ac:dyDescent="0.3">
      <c r="K877" s="7"/>
    </row>
    <row r="878" spans="11:11" x14ac:dyDescent="0.3">
      <c r="K878" s="7"/>
    </row>
    <row r="879" spans="11:11" x14ac:dyDescent="0.3">
      <c r="K879" s="7"/>
    </row>
    <row r="880" spans="11:11" x14ac:dyDescent="0.3">
      <c r="K880" s="7"/>
    </row>
    <row r="881" spans="11:11" x14ac:dyDescent="0.3">
      <c r="K881" s="7"/>
    </row>
    <row r="882" spans="11:11" x14ac:dyDescent="0.3">
      <c r="K882" s="7"/>
    </row>
    <row r="883" spans="11:11" x14ac:dyDescent="0.3">
      <c r="K883" s="7"/>
    </row>
    <row r="884" spans="11:11" x14ac:dyDescent="0.3">
      <c r="K884" s="7"/>
    </row>
    <row r="885" spans="11:11" x14ac:dyDescent="0.3">
      <c r="K885" s="7"/>
    </row>
    <row r="886" spans="11:11" x14ac:dyDescent="0.3">
      <c r="K886" s="7"/>
    </row>
    <row r="887" spans="11:11" x14ac:dyDescent="0.3">
      <c r="K887" s="7"/>
    </row>
    <row r="888" spans="11:11" x14ac:dyDescent="0.3">
      <c r="K888" s="7"/>
    </row>
    <row r="889" spans="11:11" x14ac:dyDescent="0.3">
      <c r="K889" s="7"/>
    </row>
    <row r="890" spans="11:11" x14ac:dyDescent="0.3">
      <c r="K890" s="7"/>
    </row>
    <row r="891" spans="11:11" x14ac:dyDescent="0.3">
      <c r="K891" s="7"/>
    </row>
    <row r="892" spans="11:11" x14ac:dyDescent="0.3">
      <c r="K892" s="7"/>
    </row>
    <row r="893" spans="11:11" x14ac:dyDescent="0.3">
      <c r="K893" s="7"/>
    </row>
    <row r="894" spans="11:11" x14ac:dyDescent="0.3">
      <c r="K894" s="7"/>
    </row>
    <row r="895" spans="11:11" x14ac:dyDescent="0.3">
      <c r="K895" s="7"/>
    </row>
    <row r="896" spans="11:11" x14ac:dyDescent="0.3">
      <c r="K896" s="7"/>
    </row>
    <row r="897" spans="11:11" x14ac:dyDescent="0.3">
      <c r="K897" s="7"/>
    </row>
    <row r="898" spans="11:11" x14ac:dyDescent="0.3">
      <c r="K898" s="7"/>
    </row>
    <row r="899" spans="11:11" x14ac:dyDescent="0.3">
      <c r="K899" s="7"/>
    </row>
    <row r="900" spans="11:11" x14ac:dyDescent="0.3">
      <c r="K900" s="7"/>
    </row>
    <row r="901" spans="11:11" x14ac:dyDescent="0.3">
      <c r="K901" s="7"/>
    </row>
    <row r="902" spans="11:11" x14ac:dyDescent="0.3">
      <c r="K902" s="7"/>
    </row>
    <row r="903" spans="11:11" x14ac:dyDescent="0.3">
      <c r="K903" s="7"/>
    </row>
    <row r="904" spans="11:11" x14ac:dyDescent="0.3">
      <c r="K904" s="7"/>
    </row>
    <row r="905" spans="11:11" x14ac:dyDescent="0.3">
      <c r="K905" s="7"/>
    </row>
    <row r="906" spans="11:11" x14ac:dyDescent="0.3">
      <c r="K906" s="7"/>
    </row>
    <row r="907" spans="11:11" x14ac:dyDescent="0.3">
      <c r="K907" s="7"/>
    </row>
    <row r="908" spans="11:11" x14ac:dyDescent="0.3">
      <c r="K908" s="7"/>
    </row>
    <row r="909" spans="11:11" x14ac:dyDescent="0.3">
      <c r="K909" s="7"/>
    </row>
    <row r="910" spans="11:11" x14ac:dyDescent="0.3">
      <c r="K910" s="7"/>
    </row>
    <row r="911" spans="11:11" x14ac:dyDescent="0.3">
      <c r="K911" s="7"/>
    </row>
    <row r="912" spans="11:11" x14ac:dyDescent="0.3">
      <c r="K912" s="7"/>
    </row>
    <row r="913" spans="11:11" x14ac:dyDescent="0.3">
      <c r="K913" s="7"/>
    </row>
    <row r="914" spans="11:11" x14ac:dyDescent="0.3">
      <c r="K914" s="7"/>
    </row>
    <row r="915" spans="11:11" x14ac:dyDescent="0.3">
      <c r="K915" s="7"/>
    </row>
    <row r="916" spans="11:11" x14ac:dyDescent="0.3">
      <c r="K916" s="7"/>
    </row>
    <row r="917" spans="11:11" x14ac:dyDescent="0.3">
      <c r="K917" s="7"/>
    </row>
    <row r="918" spans="11:11" x14ac:dyDescent="0.3">
      <c r="K918" s="7"/>
    </row>
    <row r="919" spans="11:11" x14ac:dyDescent="0.3">
      <c r="K919" s="7"/>
    </row>
    <row r="920" spans="11:11" x14ac:dyDescent="0.3">
      <c r="K920" s="7"/>
    </row>
    <row r="921" spans="11:11" x14ac:dyDescent="0.3">
      <c r="K921" s="7"/>
    </row>
    <row r="922" spans="11:11" x14ac:dyDescent="0.3">
      <c r="K922" s="7"/>
    </row>
    <row r="923" spans="11:11" x14ac:dyDescent="0.3">
      <c r="K923" s="7"/>
    </row>
    <row r="924" spans="11:11" x14ac:dyDescent="0.3">
      <c r="K924" s="7"/>
    </row>
    <row r="925" spans="11:11" x14ac:dyDescent="0.3">
      <c r="K925" s="7"/>
    </row>
    <row r="926" spans="11:11" x14ac:dyDescent="0.3">
      <c r="K926" s="7"/>
    </row>
    <row r="927" spans="11:11" x14ac:dyDescent="0.3">
      <c r="K927" s="7"/>
    </row>
    <row r="928" spans="11:11" x14ac:dyDescent="0.3">
      <c r="K928" s="7"/>
    </row>
    <row r="929" spans="11:11" x14ac:dyDescent="0.3">
      <c r="K929" s="7"/>
    </row>
    <row r="930" spans="11:11" x14ac:dyDescent="0.3">
      <c r="K930" s="7"/>
    </row>
    <row r="931" spans="11:11" x14ac:dyDescent="0.3">
      <c r="K931" s="7"/>
    </row>
    <row r="932" spans="11:11" x14ac:dyDescent="0.3">
      <c r="K932" s="7"/>
    </row>
    <row r="933" spans="11:11" x14ac:dyDescent="0.3">
      <c r="K933" s="7"/>
    </row>
    <row r="934" spans="11:11" x14ac:dyDescent="0.3">
      <c r="K934" s="7"/>
    </row>
    <row r="935" spans="11:11" x14ac:dyDescent="0.3">
      <c r="K935" s="7"/>
    </row>
    <row r="936" spans="11:11" x14ac:dyDescent="0.3">
      <c r="K936" s="7"/>
    </row>
    <row r="937" spans="11:11" x14ac:dyDescent="0.3">
      <c r="K937" s="7"/>
    </row>
    <row r="938" spans="11:11" x14ac:dyDescent="0.3">
      <c r="K938" s="7"/>
    </row>
    <row r="939" spans="11:11" x14ac:dyDescent="0.3">
      <c r="K939" s="7"/>
    </row>
    <row r="940" spans="11:11" x14ac:dyDescent="0.3">
      <c r="K940" s="7"/>
    </row>
    <row r="941" spans="11:11" x14ac:dyDescent="0.3">
      <c r="K941" s="7"/>
    </row>
    <row r="942" spans="11:11" x14ac:dyDescent="0.3">
      <c r="K942" s="7"/>
    </row>
    <row r="943" spans="11:11" x14ac:dyDescent="0.3">
      <c r="K943" s="7"/>
    </row>
    <row r="944" spans="11:11" x14ac:dyDescent="0.3">
      <c r="K944" s="7"/>
    </row>
    <row r="945" spans="11:11" x14ac:dyDescent="0.3">
      <c r="K945" s="7"/>
    </row>
    <row r="946" spans="11:11" x14ac:dyDescent="0.3">
      <c r="K946" s="7"/>
    </row>
    <row r="947" spans="11:11" x14ac:dyDescent="0.3">
      <c r="K947" s="7"/>
    </row>
    <row r="948" spans="11:11" x14ac:dyDescent="0.3">
      <c r="K948" s="7"/>
    </row>
    <row r="949" spans="11:11" x14ac:dyDescent="0.3">
      <c r="K949" s="7"/>
    </row>
    <row r="950" spans="11:11" x14ac:dyDescent="0.3">
      <c r="K950" s="7"/>
    </row>
    <row r="951" spans="11:11" x14ac:dyDescent="0.3">
      <c r="K951" s="7"/>
    </row>
    <row r="952" spans="11:11" x14ac:dyDescent="0.3">
      <c r="K952" s="7"/>
    </row>
    <row r="953" spans="11:11" x14ac:dyDescent="0.3">
      <c r="K953" s="7"/>
    </row>
    <row r="954" spans="11:11" x14ac:dyDescent="0.3">
      <c r="K954" s="7"/>
    </row>
    <row r="955" spans="11:11" x14ac:dyDescent="0.3">
      <c r="K955" s="7"/>
    </row>
    <row r="956" spans="11:11" x14ac:dyDescent="0.3">
      <c r="K956" s="7"/>
    </row>
    <row r="957" spans="11:11" x14ac:dyDescent="0.3">
      <c r="K957" s="7"/>
    </row>
    <row r="958" spans="11:11" x14ac:dyDescent="0.3">
      <c r="K958" s="7"/>
    </row>
    <row r="959" spans="11:11" x14ac:dyDescent="0.3">
      <c r="K959" s="7"/>
    </row>
    <row r="960" spans="11:11" x14ac:dyDescent="0.3">
      <c r="K960" s="7"/>
    </row>
    <row r="961" spans="11:11" x14ac:dyDescent="0.3">
      <c r="K961" s="7"/>
    </row>
    <row r="962" spans="11:11" x14ac:dyDescent="0.3">
      <c r="K962" s="7"/>
    </row>
    <row r="963" spans="11:11" x14ac:dyDescent="0.3">
      <c r="K963" s="7"/>
    </row>
    <row r="964" spans="11:11" x14ac:dyDescent="0.3">
      <c r="K964" s="7"/>
    </row>
    <row r="965" spans="11:11" x14ac:dyDescent="0.3">
      <c r="K965" s="7"/>
    </row>
    <row r="966" spans="11:11" x14ac:dyDescent="0.3">
      <c r="K966" s="7"/>
    </row>
    <row r="967" spans="11:11" x14ac:dyDescent="0.3">
      <c r="K967" s="7"/>
    </row>
    <row r="968" spans="11:11" x14ac:dyDescent="0.3">
      <c r="K968" s="7"/>
    </row>
    <row r="969" spans="11:11" x14ac:dyDescent="0.3">
      <c r="K969" s="7"/>
    </row>
    <row r="970" spans="11:11" x14ac:dyDescent="0.3">
      <c r="K970" s="7"/>
    </row>
    <row r="971" spans="11:11" x14ac:dyDescent="0.3">
      <c r="K971" s="7"/>
    </row>
    <row r="972" spans="11:11" x14ac:dyDescent="0.3">
      <c r="K972" s="7"/>
    </row>
    <row r="973" spans="11:11" x14ac:dyDescent="0.3">
      <c r="K973" s="7"/>
    </row>
    <row r="974" spans="11:11" x14ac:dyDescent="0.3">
      <c r="K974" s="7"/>
    </row>
    <row r="975" spans="11:11" x14ac:dyDescent="0.3">
      <c r="K975" s="7"/>
    </row>
    <row r="976" spans="11:11" x14ac:dyDescent="0.3">
      <c r="K976" s="7"/>
    </row>
    <row r="977" spans="11:11" x14ac:dyDescent="0.3">
      <c r="K977" s="7"/>
    </row>
    <row r="978" spans="11:11" x14ac:dyDescent="0.3">
      <c r="K978" s="7"/>
    </row>
    <row r="979" spans="11:11" x14ac:dyDescent="0.3">
      <c r="K979" s="7"/>
    </row>
    <row r="980" spans="11:11" x14ac:dyDescent="0.3">
      <c r="K980" s="7"/>
    </row>
    <row r="981" spans="11:11" x14ac:dyDescent="0.3">
      <c r="K981" s="7"/>
    </row>
    <row r="982" spans="11:11" x14ac:dyDescent="0.3">
      <c r="K982" s="7"/>
    </row>
    <row r="983" spans="11:11" x14ac:dyDescent="0.3">
      <c r="K983" s="7"/>
    </row>
    <row r="984" spans="11:11" x14ac:dyDescent="0.3">
      <c r="K984" s="7"/>
    </row>
    <row r="985" spans="11:11" x14ac:dyDescent="0.3">
      <c r="K985" s="7"/>
    </row>
    <row r="986" spans="11:11" x14ac:dyDescent="0.3">
      <c r="K986" s="7"/>
    </row>
    <row r="987" spans="11:11" x14ac:dyDescent="0.3">
      <c r="K987" s="7"/>
    </row>
    <row r="988" spans="11:11" x14ac:dyDescent="0.3">
      <c r="K988" s="7"/>
    </row>
    <row r="989" spans="11:11" x14ac:dyDescent="0.3">
      <c r="K989" s="7"/>
    </row>
    <row r="990" spans="11:11" x14ac:dyDescent="0.3">
      <c r="K990" s="7"/>
    </row>
    <row r="991" spans="11:11" x14ac:dyDescent="0.3">
      <c r="K991" s="7"/>
    </row>
    <row r="992" spans="11:11" x14ac:dyDescent="0.3">
      <c r="K992" s="7"/>
    </row>
    <row r="993" spans="11:11" x14ac:dyDescent="0.3">
      <c r="K993" s="7"/>
    </row>
    <row r="994" spans="11:11" x14ac:dyDescent="0.3">
      <c r="K994" s="7"/>
    </row>
    <row r="995" spans="11:11" x14ac:dyDescent="0.3">
      <c r="K995" s="7"/>
    </row>
    <row r="996" spans="11:11" x14ac:dyDescent="0.3">
      <c r="K996" s="7"/>
    </row>
    <row r="997" spans="11:11" x14ac:dyDescent="0.3">
      <c r="K997" s="7"/>
    </row>
    <row r="998" spans="11:11" x14ac:dyDescent="0.3">
      <c r="K998" s="7"/>
    </row>
    <row r="999" spans="11:11" x14ac:dyDescent="0.3">
      <c r="K999" s="7"/>
    </row>
    <row r="1000" spans="11:11" x14ac:dyDescent="0.3">
      <c r="K1000" s="7"/>
    </row>
    <row r="1001" spans="11:11" x14ac:dyDescent="0.3">
      <c r="K1001" s="7"/>
    </row>
    <row r="1002" spans="11:11" x14ac:dyDescent="0.3">
      <c r="K1002" s="7"/>
    </row>
    <row r="1003" spans="11:11" x14ac:dyDescent="0.3">
      <c r="K1003" s="7"/>
    </row>
    <row r="1004" spans="11:11" x14ac:dyDescent="0.3">
      <c r="K1004" s="7"/>
    </row>
    <row r="1005" spans="11:11" x14ac:dyDescent="0.3">
      <c r="K1005" s="7"/>
    </row>
    <row r="1006" spans="11:11" x14ac:dyDescent="0.3">
      <c r="K1006" s="7"/>
    </row>
    <row r="1007" spans="11:11" x14ac:dyDescent="0.3">
      <c r="K1007" s="7"/>
    </row>
    <row r="1008" spans="11:11" x14ac:dyDescent="0.3">
      <c r="K1008" s="7"/>
    </row>
    <row r="1009" spans="11:11" x14ac:dyDescent="0.3">
      <c r="K1009" s="7"/>
    </row>
    <row r="1010" spans="11:11" x14ac:dyDescent="0.3">
      <c r="K1010" s="7"/>
    </row>
    <row r="1011" spans="11:11" x14ac:dyDescent="0.3">
      <c r="K1011" s="7"/>
    </row>
    <row r="1012" spans="11:11" x14ac:dyDescent="0.3">
      <c r="K1012" s="7"/>
    </row>
    <row r="1013" spans="11:11" x14ac:dyDescent="0.3">
      <c r="K1013" s="7"/>
    </row>
    <row r="1014" spans="11:11" x14ac:dyDescent="0.3">
      <c r="K1014" s="7"/>
    </row>
    <row r="1015" spans="11:11" x14ac:dyDescent="0.3">
      <c r="K1015" s="7"/>
    </row>
    <row r="1016" spans="11:11" x14ac:dyDescent="0.3">
      <c r="K1016" s="7"/>
    </row>
    <row r="1017" spans="11:11" x14ac:dyDescent="0.3">
      <c r="K1017" s="7"/>
    </row>
    <row r="1018" spans="11:11" x14ac:dyDescent="0.3">
      <c r="K1018" s="7"/>
    </row>
    <row r="1019" spans="11:11" x14ac:dyDescent="0.3">
      <c r="K1019" s="7"/>
    </row>
    <row r="1020" spans="11:11" x14ac:dyDescent="0.3">
      <c r="K1020" s="7"/>
    </row>
    <row r="1021" spans="11:11" x14ac:dyDescent="0.3">
      <c r="K1021" s="7"/>
    </row>
    <row r="1022" spans="11:11" x14ac:dyDescent="0.3">
      <c r="K1022" s="7"/>
    </row>
    <row r="1023" spans="11:11" x14ac:dyDescent="0.3">
      <c r="K1023" s="7"/>
    </row>
    <row r="1024" spans="11:11" x14ac:dyDescent="0.3">
      <c r="K1024" s="7"/>
    </row>
    <row r="1025" spans="11:11" x14ac:dyDescent="0.3">
      <c r="K1025" s="7"/>
    </row>
    <row r="1026" spans="11:11" x14ac:dyDescent="0.3">
      <c r="K1026" s="7"/>
    </row>
    <row r="1027" spans="11:11" x14ac:dyDescent="0.3">
      <c r="K1027" s="7"/>
    </row>
    <row r="1028" spans="11:11" x14ac:dyDescent="0.3">
      <c r="K1028" s="7"/>
    </row>
    <row r="1029" spans="11:11" x14ac:dyDescent="0.3">
      <c r="K1029" s="7"/>
    </row>
    <row r="1030" spans="11:11" x14ac:dyDescent="0.3">
      <c r="K1030" s="7"/>
    </row>
    <row r="1031" spans="11:11" x14ac:dyDescent="0.3">
      <c r="K1031" s="7"/>
    </row>
    <row r="1032" spans="11:11" x14ac:dyDescent="0.3">
      <c r="K1032" s="7"/>
    </row>
    <row r="1033" spans="11:11" x14ac:dyDescent="0.3">
      <c r="K1033" s="7"/>
    </row>
    <row r="1034" spans="11:11" x14ac:dyDescent="0.3">
      <c r="K1034" s="7"/>
    </row>
    <row r="1035" spans="11:11" x14ac:dyDescent="0.3">
      <c r="K1035" s="7"/>
    </row>
    <row r="1036" spans="11:11" x14ac:dyDescent="0.3">
      <c r="K1036" s="7"/>
    </row>
    <row r="1037" spans="11:11" x14ac:dyDescent="0.3">
      <c r="K1037" s="7"/>
    </row>
    <row r="1038" spans="11:11" x14ac:dyDescent="0.3">
      <c r="K1038" s="7"/>
    </row>
    <row r="1039" spans="11:11" x14ac:dyDescent="0.3">
      <c r="K1039" s="7"/>
    </row>
    <row r="1040" spans="11:11" x14ac:dyDescent="0.3">
      <c r="K1040" s="7"/>
    </row>
    <row r="1041" spans="11:11" x14ac:dyDescent="0.3">
      <c r="K1041" s="7"/>
    </row>
    <row r="1042" spans="11:11" x14ac:dyDescent="0.3">
      <c r="K1042" s="7"/>
    </row>
    <row r="1043" spans="11:11" x14ac:dyDescent="0.3">
      <c r="K1043" s="7"/>
    </row>
    <row r="1044" spans="11:11" x14ac:dyDescent="0.3">
      <c r="K1044" s="7"/>
    </row>
    <row r="1045" spans="11:11" x14ac:dyDescent="0.3">
      <c r="K1045" s="7"/>
    </row>
    <row r="1046" spans="11:11" x14ac:dyDescent="0.3">
      <c r="K1046" s="7"/>
    </row>
    <row r="1047" spans="11:11" x14ac:dyDescent="0.3">
      <c r="K1047" s="7"/>
    </row>
    <row r="1048" spans="11:11" x14ac:dyDescent="0.3">
      <c r="K1048" s="7"/>
    </row>
    <row r="1049" spans="11:11" x14ac:dyDescent="0.3">
      <c r="K1049" s="7"/>
    </row>
    <row r="1050" spans="11:11" x14ac:dyDescent="0.3">
      <c r="K1050" s="7"/>
    </row>
    <row r="1051" spans="11:11" x14ac:dyDescent="0.3">
      <c r="K1051" s="7"/>
    </row>
    <row r="1052" spans="11:11" x14ac:dyDescent="0.3">
      <c r="K1052" s="7"/>
    </row>
    <row r="1053" spans="11:11" x14ac:dyDescent="0.3">
      <c r="K1053" s="7"/>
    </row>
    <row r="1054" spans="11:11" x14ac:dyDescent="0.3">
      <c r="K1054" s="7"/>
    </row>
    <row r="1055" spans="11:11" x14ac:dyDescent="0.3">
      <c r="K1055" s="7"/>
    </row>
    <row r="1056" spans="11:11" x14ac:dyDescent="0.3">
      <c r="K1056" s="7"/>
    </row>
    <row r="1057" spans="11:11" x14ac:dyDescent="0.3">
      <c r="K1057" s="7"/>
    </row>
    <row r="1058" spans="11:11" x14ac:dyDescent="0.3">
      <c r="K1058" s="7"/>
    </row>
    <row r="1059" spans="11:11" x14ac:dyDescent="0.3">
      <c r="K1059" s="7"/>
    </row>
    <row r="1060" spans="11:11" x14ac:dyDescent="0.3">
      <c r="K1060" s="7"/>
    </row>
    <row r="1061" spans="11:11" x14ac:dyDescent="0.3">
      <c r="K1061" s="7"/>
    </row>
    <row r="1062" spans="11:11" x14ac:dyDescent="0.3">
      <c r="K1062" s="7"/>
    </row>
    <row r="1063" spans="11:11" x14ac:dyDescent="0.3">
      <c r="K1063" s="7"/>
    </row>
    <row r="1064" spans="11:11" x14ac:dyDescent="0.3">
      <c r="K1064" s="7"/>
    </row>
    <row r="1065" spans="11:11" x14ac:dyDescent="0.3">
      <c r="K1065" s="7"/>
    </row>
    <row r="1066" spans="11:11" x14ac:dyDescent="0.3">
      <c r="K1066" s="7"/>
    </row>
    <row r="1067" spans="11:11" x14ac:dyDescent="0.3">
      <c r="K1067" s="7"/>
    </row>
    <row r="1068" spans="11:11" x14ac:dyDescent="0.3">
      <c r="K1068" s="7"/>
    </row>
    <row r="1069" spans="11:11" x14ac:dyDescent="0.3">
      <c r="K1069" s="7"/>
    </row>
    <row r="1070" spans="11:11" x14ac:dyDescent="0.3">
      <c r="K1070" s="7"/>
    </row>
    <row r="1071" spans="11:11" x14ac:dyDescent="0.3">
      <c r="K1071" s="7"/>
    </row>
    <row r="1072" spans="11:11" x14ac:dyDescent="0.3">
      <c r="K1072" s="7"/>
    </row>
    <row r="1073" spans="11:11" x14ac:dyDescent="0.3">
      <c r="K1073" s="7"/>
    </row>
    <row r="1074" spans="11:11" x14ac:dyDescent="0.3">
      <c r="K1074" s="7"/>
    </row>
    <row r="1075" spans="11:11" x14ac:dyDescent="0.3">
      <c r="K1075" s="7"/>
    </row>
    <row r="1076" spans="11:11" x14ac:dyDescent="0.3">
      <c r="K1076" s="7"/>
    </row>
    <row r="1077" spans="11:11" x14ac:dyDescent="0.3">
      <c r="K1077" s="7"/>
    </row>
    <row r="1078" spans="11:11" x14ac:dyDescent="0.3">
      <c r="K1078" s="7"/>
    </row>
    <row r="1079" spans="11:11" x14ac:dyDescent="0.3">
      <c r="K1079" s="7"/>
    </row>
    <row r="1080" spans="11:11" x14ac:dyDescent="0.3">
      <c r="K1080" s="7"/>
    </row>
    <row r="1081" spans="11:11" x14ac:dyDescent="0.3">
      <c r="K1081" s="7"/>
    </row>
    <row r="1082" spans="11:11" x14ac:dyDescent="0.3">
      <c r="K1082" s="7"/>
    </row>
    <row r="1083" spans="11:11" x14ac:dyDescent="0.3">
      <c r="K1083" s="7"/>
    </row>
    <row r="1084" spans="11:11" x14ac:dyDescent="0.3">
      <c r="K1084" s="7"/>
    </row>
    <row r="1085" spans="11:11" x14ac:dyDescent="0.3">
      <c r="K1085" s="7"/>
    </row>
    <row r="1086" spans="11:11" x14ac:dyDescent="0.3">
      <c r="K1086" s="7"/>
    </row>
    <row r="1087" spans="11:11" x14ac:dyDescent="0.3">
      <c r="K1087" s="7"/>
    </row>
    <row r="1088" spans="11:11" x14ac:dyDescent="0.3">
      <c r="K1088" s="7"/>
    </row>
    <row r="1089" spans="11:11" x14ac:dyDescent="0.3">
      <c r="K1089" s="7"/>
    </row>
    <row r="1090" spans="11:11" x14ac:dyDescent="0.3">
      <c r="K1090" s="7"/>
    </row>
    <row r="1091" spans="11:11" x14ac:dyDescent="0.3">
      <c r="K1091" s="7"/>
    </row>
    <row r="1092" spans="11:11" x14ac:dyDescent="0.3">
      <c r="K1092" s="7"/>
    </row>
    <row r="1093" spans="11:11" x14ac:dyDescent="0.3">
      <c r="K1093" s="7"/>
    </row>
    <row r="1094" spans="11:11" x14ac:dyDescent="0.3">
      <c r="K1094" s="7"/>
    </row>
    <row r="1095" spans="11:11" x14ac:dyDescent="0.3">
      <c r="K1095" s="7"/>
    </row>
    <row r="1096" spans="11:11" x14ac:dyDescent="0.3">
      <c r="K1096" s="7"/>
    </row>
    <row r="1097" spans="11:11" x14ac:dyDescent="0.3">
      <c r="K1097" s="7"/>
    </row>
    <row r="1098" spans="11:11" x14ac:dyDescent="0.3">
      <c r="K1098" s="7"/>
    </row>
    <row r="1099" spans="11:11" x14ac:dyDescent="0.3">
      <c r="K1099" s="7"/>
    </row>
    <row r="1100" spans="11:11" x14ac:dyDescent="0.3">
      <c r="K1100" s="7"/>
    </row>
    <row r="1101" spans="11:11" x14ac:dyDescent="0.3">
      <c r="K1101" s="7"/>
    </row>
    <row r="1102" spans="11:11" x14ac:dyDescent="0.3">
      <c r="K1102" s="7"/>
    </row>
    <row r="1103" spans="11:11" x14ac:dyDescent="0.3">
      <c r="K1103" s="7"/>
    </row>
    <row r="1104" spans="11:11" x14ac:dyDescent="0.3">
      <c r="K1104" s="7"/>
    </row>
    <row r="1105" spans="11:11" x14ac:dyDescent="0.3">
      <c r="K1105" s="7"/>
    </row>
    <row r="1106" spans="11:11" x14ac:dyDescent="0.3">
      <c r="K1106" s="7"/>
    </row>
    <row r="1107" spans="11:11" x14ac:dyDescent="0.3">
      <c r="K1107" s="7"/>
    </row>
    <row r="1108" spans="11:11" x14ac:dyDescent="0.3">
      <c r="K1108" s="7"/>
    </row>
    <row r="1109" spans="11:11" x14ac:dyDescent="0.3">
      <c r="K1109" s="7"/>
    </row>
    <row r="1110" spans="11:11" x14ac:dyDescent="0.3">
      <c r="K1110" s="7"/>
    </row>
    <row r="1111" spans="11:11" x14ac:dyDescent="0.3">
      <c r="K1111" s="7"/>
    </row>
    <row r="1112" spans="11:11" x14ac:dyDescent="0.3">
      <c r="K1112" s="7"/>
    </row>
    <row r="1113" spans="11:11" x14ac:dyDescent="0.3">
      <c r="K1113" s="7"/>
    </row>
    <row r="1114" spans="11:11" x14ac:dyDescent="0.3">
      <c r="K1114" s="7"/>
    </row>
    <row r="1115" spans="11:11" x14ac:dyDescent="0.3">
      <c r="K1115" s="7"/>
    </row>
    <row r="1116" spans="11:11" x14ac:dyDescent="0.3">
      <c r="K1116" s="7"/>
    </row>
    <row r="1117" spans="11:11" x14ac:dyDescent="0.3">
      <c r="K1117" s="7"/>
    </row>
    <row r="1118" spans="11:11" x14ac:dyDescent="0.3">
      <c r="K1118" s="7"/>
    </row>
    <row r="1119" spans="11:11" x14ac:dyDescent="0.3">
      <c r="K1119" s="7"/>
    </row>
    <row r="1120" spans="11:11" x14ac:dyDescent="0.3">
      <c r="K1120" s="7"/>
    </row>
    <row r="1121" spans="11:11" x14ac:dyDescent="0.3">
      <c r="K1121" s="7"/>
    </row>
    <row r="1122" spans="11:11" x14ac:dyDescent="0.3">
      <c r="K1122" s="7"/>
    </row>
    <row r="1123" spans="11:11" x14ac:dyDescent="0.3">
      <c r="K1123" s="7"/>
    </row>
    <row r="1124" spans="11:11" x14ac:dyDescent="0.3">
      <c r="K1124" s="7"/>
    </row>
    <row r="1125" spans="11:11" x14ac:dyDescent="0.3">
      <c r="K1125" s="7"/>
    </row>
    <row r="1126" spans="11:11" x14ac:dyDescent="0.3">
      <c r="K1126" s="7"/>
    </row>
    <row r="1127" spans="11:11" x14ac:dyDescent="0.3">
      <c r="K1127" s="7"/>
    </row>
    <row r="1128" spans="11:11" x14ac:dyDescent="0.3">
      <c r="K1128" s="7"/>
    </row>
    <row r="1129" spans="11:11" x14ac:dyDescent="0.3">
      <c r="K1129" s="7"/>
    </row>
    <row r="1130" spans="11:11" x14ac:dyDescent="0.3">
      <c r="K1130" s="7"/>
    </row>
    <row r="1131" spans="11:11" x14ac:dyDescent="0.3">
      <c r="K1131" s="7"/>
    </row>
    <row r="1132" spans="11:11" x14ac:dyDescent="0.3">
      <c r="K1132" s="7"/>
    </row>
    <row r="1133" spans="11:11" x14ac:dyDescent="0.3">
      <c r="K1133" s="7"/>
    </row>
    <row r="1134" spans="11:11" x14ac:dyDescent="0.3">
      <c r="K1134" s="7"/>
    </row>
    <row r="1135" spans="11:11" x14ac:dyDescent="0.3">
      <c r="K1135" s="7"/>
    </row>
    <row r="1136" spans="11:11" x14ac:dyDescent="0.3">
      <c r="K1136" s="7"/>
    </row>
    <row r="1137" spans="11:11" x14ac:dyDescent="0.3">
      <c r="K1137" s="7"/>
    </row>
    <row r="1138" spans="11:11" x14ac:dyDescent="0.3">
      <c r="K1138" s="7"/>
    </row>
    <row r="1139" spans="11:11" x14ac:dyDescent="0.3">
      <c r="K1139" s="7"/>
    </row>
    <row r="1140" spans="11:11" x14ac:dyDescent="0.3">
      <c r="K1140" s="7"/>
    </row>
    <row r="1141" spans="11:11" x14ac:dyDescent="0.3">
      <c r="K1141" s="7"/>
    </row>
    <row r="1142" spans="11:11" x14ac:dyDescent="0.3">
      <c r="K1142" s="7"/>
    </row>
    <row r="1143" spans="11:11" x14ac:dyDescent="0.3">
      <c r="K1143" s="7"/>
    </row>
    <row r="1144" spans="11:11" x14ac:dyDescent="0.3">
      <c r="K1144" s="7"/>
    </row>
    <row r="1145" spans="11:11" x14ac:dyDescent="0.3">
      <c r="K1145" s="7"/>
    </row>
    <row r="1146" spans="11:11" x14ac:dyDescent="0.3">
      <c r="K1146" s="7"/>
    </row>
    <row r="1147" spans="11:11" x14ac:dyDescent="0.3">
      <c r="K1147" s="7"/>
    </row>
    <row r="1148" spans="11:11" x14ac:dyDescent="0.3">
      <c r="K1148" s="7"/>
    </row>
    <row r="1149" spans="11:11" x14ac:dyDescent="0.3">
      <c r="K1149" s="7"/>
    </row>
    <row r="1150" spans="11:11" x14ac:dyDescent="0.3">
      <c r="K1150" s="7"/>
    </row>
    <row r="1151" spans="11:11" x14ac:dyDescent="0.3">
      <c r="K1151" s="7"/>
    </row>
    <row r="1152" spans="11:11" x14ac:dyDescent="0.3">
      <c r="K1152" s="7"/>
    </row>
    <row r="1153" spans="11:11" x14ac:dyDescent="0.3">
      <c r="K1153" s="7"/>
    </row>
    <row r="1154" spans="11:11" x14ac:dyDescent="0.3">
      <c r="K1154" s="7"/>
    </row>
    <row r="1155" spans="11:11" x14ac:dyDescent="0.3">
      <c r="K1155" s="7"/>
    </row>
    <row r="1156" spans="11:11" x14ac:dyDescent="0.3">
      <c r="K1156" s="7"/>
    </row>
    <row r="1157" spans="11:11" x14ac:dyDescent="0.3">
      <c r="K1157" s="7"/>
    </row>
    <row r="1158" spans="11:11" x14ac:dyDescent="0.3">
      <c r="K1158" s="7"/>
    </row>
    <row r="1159" spans="11:11" x14ac:dyDescent="0.3">
      <c r="K1159" s="7"/>
    </row>
    <row r="1160" spans="11:11" x14ac:dyDescent="0.3">
      <c r="K1160" s="7"/>
    </row>
    <row r="1161" spans="11:11" x14ac:dyDescent="0.3">
      <c r="K1161" s="7"/>
    </row>
    <row r="1162" spans="11:11" x14ac:dyDescent="0.3">
      <c r="K1162" s="7"/>
    </row>
    <row r="1163" spans="11:11" x14ac:dyDescent="0.3">
      <c r="K1163" s="7"/>
    </row>
    <row r="1164" spans="11:11" x14ac:dyDescent="0.3">
      <c r="K1164" s="7"/>
    </row>
    <row r="1165" spans="11:11" x14ac:dyDescent="0.3">
      <c r="K1165" s="7"/>
    </row>
    <row r="1166" spans="11:11" x14ac:dyDescent="0.3">
      <c r="K1166" s="7"/>
    </row>
    <row r="1167" spans="11:11" x14ac:dyDescent="0.3">
      <c r="K1167" s="7"/>
    </row>
    <row r="1168" spans="11:11" x14ac:dyDescent="0.3">
      <c r="K1168" s="7"/>
    </row>
    <row r="1169" spans="11:11" x14ac:dyDescent="0.3">
      <c r="K1169" s="7"/>
    </row>
    <row r="1170" spans="11:11" x14ac:dyDescent="0.3">
      <c r="K1170" s="7"/>
    </row>
    <row r="1171" spans="11:11" x14ac:dyDescent="0.3">
      <c r="K1171" s="7"/>
    </row>
    <row r="1172" spans="11:11" x14ac:dyDescent="0.3">
      <c r="K1172" s="7"/>
    </row>
    <row r="1173" spans="11:11" x14ac:dyDescent="0.3">
      <c r="K1173" s="7"/>
    </row>
    <row r="1174" spans="11:11" x14ac:dyDescent="0.3">
      <c r="K1174" s="7"/>
    </row>
    <row r="1175" spans="11:11" x14ac:dyDescent="0.3">
      <c r="K1175" s="7"/>
    </row>
    <row r="1176" spans="11:11" x14ac:dyDescent="0.3">
      <c r="K1176" s="7"/>
    </row>
    <row r="1177" spans="11:11" x14ac:dyDescent="0.3">
      <c r="K1177" s="7"/>
    </row>
    <row r="1178" spans="11:11" x14ac:dyDescent="0.3">
      <c r="K1178" s="7"/>
    </row>
    <row r="1179" spans="11:11" x14ac:dyDescent="0.3">
      <c r="K1179" s="7"/>
    </row>
    <row r="1180" spans="11:11" x14ac:dyDescent="0.3">
      <c r="K1180" s="7"/>
    </row>
    <row r="1181" spans="11:11" x14ac:dyDescent="0.3">
      <c r="K1181" s="7"/>
    </row>
    <row r="1182" spans="11:11" x14ac:dyDescent="0.3">
      <c r="K1182" s="7"/>
    </row>
    <row r="1183" spans="11:11" x14ac:dyDescent="0.3">
      <c r="K1183" s="7"/>
    </row>
    <row r="1184" spans="11:11" x14ac:dyDescent="0.3">
      <c r="K1184" s="7"/>
    </row>
    <row r="1185" spans="11:11" x14ac:dyDescent="0.3">
      <c r="K1185" s="7"/>
    </row>
    <row r="1186" spans="11:11" x14ac:dyDescent="0.3">
      <c r="K1186" s="7"/>
    </row>
    <row r="1187" spans="11:11" x14ac:dyDescent="0.3">
      <c r="K1187" s="7"/>
    </row>
    <row r="1188" spans="11:11" x14ac:dyDescent="0.3">
      <c r="K1188" s="7"/>
    </row>
    <row r="1189" spans="11:11" x14ac:dyDescent="0.3">
      <c r="K1189" s="7"/>
    </row>
    <row r="1190" spans="11:11" x14ac:dyDescent="0.3">
      <c r="K1190" s="7"/>
    </row>
    <row r="1191" spans="11:11" x14ac:dyDescent="0.3">
      <c r="K1191" s="7"/>
    </row>
    <row r="1192" spans="11:11" x14ac:dyDescent="0.3">
      <c r="K1192" s="7"/>
    </row>
    <row r="1193" spans="11:11" x14ac:dyDescent="0.3">
      <c r="K1193" s="7"/>
    </row>
    <row r="1194" spans="11:11" x14ac:dyDescent="0.3">
      <c r="K1194" s="7"/>
    </row>
    <row r="1195" spans="11:11" x14ac:dyDescent="0.3">
      <c r="K1195" s="7"/>
    </row>
    <row r="1196" spans="11:11" x14ac:dyDescent="0.3">
      <c r="K1196" s="7"/>
    </row>
    <row r="1197" spans="11:11" x14ac:dyDescent="0.3">
      <c r="K1197" s="7"/>
    </row>
    <row r="1198" spans="11:11" x14ac:dyDescent="0.3">
      <c r="K1198" s="7"/>
    </row>
    <row r="1199" spans="11:11" x14ac:dyDescent="0.3">
      <c r="K1199" s="7"/>
    </row>
    <row r="1200" spans="11:11" x14ac:dyDescent="0.3">
      <c r="K1200" s="7"/>
    </row>
    <row r="1201" spans="11:11" x14ac:dyDescent="0.3">
      <c r="K1201" s="7"/>
    </row>
    <row r="1202" spans="11:11" x14ac:dyDescent="0.3">
      <c r="K1202" s="7"/>
    </row>
    <row r="1203" spans="11:11" x14ac:dyDescent="0.3">
      <c r="K1203" s="7"/>
    </row>
    <row r="1204" spans="11:11" x14ac:dyDescent="0.3">
      <c r="K1204" s="7"/>
    </row>
    <row r="1205" spans="11:11" x14ac:dyDescent="0.3">
      <c r="K1205" s="7"/>
    </row>
    <row r="1206" spans="11:11" x14ac:dyDescent="0.3">
      <c r="K1206" s="7"/>
    </row>
    <row r="1207" spans="11:11" x14ac:dyDescent="0.3">
      <c r="K1207" s="7"/>
    </row>
    <row r="1208" spans="11:11" x14ac:dyDescent="0.3">
      <c r="K1208" s="7"/>
    </row>
    <row r="1209" spans="11:11" x14ac:dyDescent="0.3">
      <c r="K1209" s="7"/>
    </row>
    <row r="1210" spans="11:11" x14ac:dyDescent="0.3">
      <c r="K1210" s="7"/>
    </row>
    <row r="1211" spans="11:11" x14ac:dyDescent="0.3">
      <c r="K1211" s="7"/>
    </row>
    <row r="1212" spans="11:11" x14ac:dyDescent="0.3">
      <c r="K1212" s="7"/>
    </row>
    <row r="1213" spans="11:11" x14ac:dyDescent="0.3">
      <c r="K1213" s="7"/>
    </row>
    <row r="1214" spans="11:11" x14ac:dyDescent="0.3">
      <c r="K1214" s="7"/>
    </row>
    <row r="1215" spans="11:11" x14ac:dyDescent="0.3">
      <c r="K1215" s="7"/>
    </row>
    <row r="1216" spans="11:11" x14ac:dyDescent="0.3">
      <c r="K1216" s="7"/>
    </row>
    <row r="1217" spans="11:11" x14ac:dyDescent="0.3">
      <c r="K1217" s="7"/>
    </row>
    <row r="1218" spans="11:11" x14ac:dyDescent="0.3">
      <c r="K1218" s="7"/>
    </row>
    <row r="1219" spans="11:11" x14ac:dyDescent="0.3">
      <c r="K1219" s="7"/>
    </row>
    <row r="1220" spans="11:11" x14ac:dyDescent="0.3">
      <c r="K1220" s="7"/>
    </row>
    <row r="1221" spans="11:11" x14ac:dyDescent="0.3">
      <c r="K1221" s="7"/>
    </row>
    <row r="1222" spans="11:11" x14ac:dyDescent="0.3">
      <c r="K1222" s="7"/>
    </row>
    <row r="1223" spans="11:11" x14ac:dyDescent="0.3">
      <c r="K1223" s="7"/>
    </row>
    <row r="1224" spans="11:11" x14ac:dyDescent="0.3">
      <c r="K1224" s="7"/>
    </row>
    <row r="1225" spans="11:11" x14ac:dyDescent="0.3">
      <c r="K1225" s="7"/>
    </row>
    <row r="1226" spans="11:11" x14ac:dyDescent="0.3">
      <c r="K1226" s="7"/>
    </row>
    <row r="1227" spans="11:11" x14ac:dyDescent="0.3">
      <c r="K1227" s="7"/>
    </row>
    <row r="1228" spans="11:11" x14ac:dyDescent="0.3">
      <c r="K1228" s="7"/>
    </row>
    <row r="1229" spans="11:11" x14ac:dyDescent="0.3">
      <c r="K1229" s="7"/>
    </row>
    <row r="1230" spans="11:11" x14ac:dyDescent="0.3">
      <c r="K1230" s="7"/>
    </row>
    <row r="1231" spans="11:11" x14ac:dyDescent="0.3">
      <c r="K1231" s="7"/>
    </row>
    <row r="1232" spans="11:11" x14ac:dyDescent="0.3">
      <c r="K1232" s="7"/>
    </row>
    <row r="1233" spans="11:11" x14ac:dyDescent="0.3">
      <c r="K1233" s="7"/>
    </row>
    <row r="1234" spans="11:11" x14ac:dyDescent="0.3">
      <c r="K1234" s="7"/>
    </row>
    <row r="1235" spans="11:11" x14ac:dyDescent="0.3">
      <c r="K1235" s="7"/>
    </row>
    <row r="1236" spans="11:11" x14ac:dyDescent="0.3">
      <c r="K1236" s="7"/>
    </row>
    <row r="1237" spans="11:11" x14ac:dyDescent="0.3">
      <c r="K1237" s="7"/>
    </row>
    <row r="1238" spans="11:11" x14ac:dyDescent="0.3">
      <c r="K1238" s="7"/>
    </row>
    <row r="1239" spans="11:11" x14ac:dyDescent="0.3">
      <c r="K1239" s="7"/>
    </row>
    <row r="1240" spans="11:11" x14ac:dyDescent="0.3">
      <c r="K1240" s="7"/>
    </row>
    <row r="1241" spans="11:11" x14ac:dyDescent="0.3">
      <c r="K1241" s="7"/>
    </row>
    <row r="1242" spans="11:11" x14ac:dyDescent="0.3">
      <c r="K1242" s="7"/>
    </row>
    <row r="1243" spans="11:11" x14ac:dyDescent="0.3">
      <c r="K1243" s="7"/>
    </row>
    <row r="1244" spans="11:11" x14ac:dyDescent="0.3">
      <c r="K1244" s="7"/>
    </row>
    <row r="1245" spans="11:11" x14ac:dyDescent="0.3">
      <c r="K1245" s="7"/>
    </row>
    <row r="1246" spans="11:11" x14ac:dyDescent="0.3">
      <c r="K1246" s="7"/>
    </row>
    <row r="1247" spans="11:11" x14ac:dyDescent="0.3">
      <c r="K1247" s="7"/>
    </row>
    <row r="1248" spans="11:11" x14ac:dyDescent="0.3">
      <c r="K1248" s="7"/>
    </row>
    <row r="1249" spans="11:11" x14ac:dyDescent="0.3">
      <c r="K1249" s="7"/>
    </row>
    <row r="1250" spans="11:11" x14ac:dyDescent="0.3">
      <c r="K1250" s="7"/>
    </row>
    <row r="1251" spans="11:11" x14ac:dyDescent="0.3">
      <c r="K1251" s="7"/>
    </row>
    <row r="1252" spans="11:11" x14ac:dyDescent="0.3">
      <c r="K1252" s="7"/>
    </row>
    <row r="1253" spans="11:11" x14ac:dyDescent="0.3">
      <c r="K1253" s="7"/>
    </row>
    <row r="1254" spans="11:11" x14ac:dyDescent="0.3">
      <c r="K1254" s="7"/>
    </row>
    <row r="1255" spans="11:11" x14ac:dyDescent="0.3">
      <c r="K1255" s="7"/>
    </row>
    <row r="1256" spans="11:11" x14ac:dyDescent="0.3">
      <c r="K1256" s="7"/>
    </row>
    <row r="1257" spans="11:11" x14ac:dyDescent="0.3">
      <c r="K1257" s="7"/>
    </row>
    <row r="1258" spans="11:11" x14ac:dyDescent="0.3">
      <c r="K1258" s="7"/>
    </row>
    <row r="1259" spans="11:11" x14ac:dyDescent="0.3">
      <c r="K1259" s="7"/>
    </row>
    <row r="1260" spans="11:11" x14ac:dyDescent="0.3">
      <c r="K1260" s="7"/>
    </row>
    <row r="1261" spans="11:11" x14ac:dyDescent="0.3">
      <c r="K1261" s="7"/>
    </row>
    <row r="1262" spans="11:11" x14ac:dyDescent="0.3">
      <c r="K1262" s="7"/>
    </row>
    <row r="1263" spans="11:11" x14ac:dyDescent="0.3">
      <c r="K1263" s="7"/>
    </row>
    <row r="1264" spans="11:11" x14ac:dyDescent="0.3">
      <c r="K1264" s="7"/>
    </row>
    <row r="1265" spans="11:11" x14ac:dyDescent="0.3">
      <c r="K1265" s="7"/>
    </row>
    <row r="1266" spans="11:11" x14ac:dyDescent="0.3">
      <c r="K1266" s="7"/>
    </row>
    <row r="1267" spans="11:11" x14ac:dyDescent="0.3">
      <c r="K1267" s="7"/>
    </row>
    <row r="1268" spans="11:11" x14ac:dyDescent="0.3">
      <c r="K1268" s="7"/>
    </row>
    <row r="1269" spans="11:11" x14ac:dyDescent="0.3">
      <c r="K1269" s="7"/>
    </row>
    <row r="1270" spans="11:11" x14ac:dyDescent="0.3">
      <c r="K1270" s="7"/>
    </row>
    <row r="1271" spans="11:11" x14ac:dyDescent="0.3">
      <c r="K1271" s="7"/>
    </row>
    <row r="1272" spans="11:11" x14ac:dyDescent="0.3">
      <c r="K1272" s="7"/>
    </row>
    <row r="1273" spans="11:11" x14ac:dyDescent="0.3">
      <c r="K1273" s="7"/>
    </row>
    <row r="1274" spans="11:11" x14ac:dyDescent="0.3">
      <c r="K1274" s="7"/>
    </row>
    <row r="1275" spans="11:11" x14ac:dyDescent="0.3">
      <c r="K1275" s="7"/>
    </row>
    <row r="1276" spans="11:11" x14ac:dyDescent="0.3">
      <c r="K1276" s="7"/>
    </row>
    <row r="1277" spans="11:11" x14ac:dyDescent="0.3">
      <c r="K1277" s="7"/>
    </row>
    <row r="1278" spans="11:11" x14ac:dyDescent="0.3">
      <c r="K1278" s="7"/>
    </row>
    <row r="1279" spans="11:11" x14ac:dyDescent="0.3">
      <c r="K1279" s="7"/>
    </row>
    <row r="1280" spans="11:11" x14ac:dyDescent="0.3">
      <c r="K1280" s="7"/>
    </row>
    <row r="1281" spans="11:11" x14ac:dyDescent="0.3">
      <c r="K1281" s="7"/>
    </row>
    <row r="1282" spans="11:11" x14ac:dyDescent="0.3">
      <c r="K1282" s="7"/>
    </row>
    <row r="1283" spans="11:11" x14ac:dyDescent="0.3">
      <c r="K1283" s="7"/>
    </row>
    <row r="1284" spans="11:11" x14ac:dyDescent="0.3">
      <c r="K1284" s="7"/>
    </row>
    <row r="1285" spans="11:11" x14ac:dyDescent="0.3">
      <c r="K1285" s="7"/>
    </row>
    <row r="1286" spans="11:11" x14ac:dyDescent="0.3">
      <c r="K1286" s="7"/>
    </row>
    <row r="1287" spans="11:11" x14ac:dyDescent="0.3">
      <c r="K1287" s="7"/>
    </row>
    <row r="1288" spans="11:11" x14ac:dyDescent="0.3">
      <c r="K1288" s="7"/>
    </row>
    <row r="1289" spans="11:11" x14ac:dyDescent="0.3">
      <c r="K1289" s="7"/>
    </row>
    <row r="1290" spans="11:11" x14ac:dyDescent="0.3">
      <c r="K1290" s="7"/>
    </row>
    <row r="1291" spans="11:11" x14ac:dyDescent="0.3">
      <c r="K1291" s="7"/>
    </row>
    <row r="1292" spans="11:11" x14ac:dyDescent="0.3">
      <c r="K1292" s="7"/>
    </row>
    <row r="1293" spans="11:11" x14ac:dyDescent="0.3">
      <c r="K1293" s="7"/>
    </row>
    <row r="1294" spans="11:11" x14ac:dyDescent="0.3">
      <c r="K1294" s="7"/>
    </row>
    <row r="1295" spans="11:11" x14ac:dyDescent="0.3">
      <c r="K1295" s="7"/>
    </row>
    <row r="1296" spans="11:11" x14ac:dyDescent="0.3">
      <c r="K1296" s="7"/>
    </row>
    <row r="1297" spans="11:11" x14ac:dyDescent="0.3">
      <c r="K1297" s="7"/>
    </row>
    <row r="1298" spans="11:11" x14ac:dyDescent="0.3">
      <c r="K1298" s="7"/>
    </row>
    <row r="1299" spans="11:11" x14ac:dyDescent="0.3">
      <c r="K1299" s="7"/>
    </row>
    <row r="1300" spans="11:11" x14ac:dyDescent="0.3">
      <c r="K1300" s="7"/>
    </row>
    <row r="1301" spans="11:11" x14ac:dyDescent="0.3">
      <c r="K1301" s="7"/>
    </row>
    <row r="1302" spans="11:11" x14ac:dyDescent="0.3">
      <c r="K1302" s="7"/>
    </row>
    <row r="1303" spans="11:11" x14ac:dyDescent="0.3">
      <c r="K1303" s="7"/>
    </row>
    <row r="1304" spans="11:11" x14ac:dyDescent="0.3">
      <c r="K1304" s="7"/>
    </row>
    <row r="1305" spans="11:11" x14ac:dyDescent="0.3">
      <c r="K1305" s="7"/>
    </row>
    <row r="1306" spans="11:11" x14ac:dyDescent="0.3">
      <c r="K1306" s="7"/>
    </row>
    <row r="1307" spans="11:11" x14ac:dyDescent="0.3">
      <c r="K1307" s="7"/>
    </row>
    <row r="1308" spans="11:11" x14ac:dyDescent="0.3">
      <c r="K1308" s="7"/>
    </row>
    <row r="1309" spans="11:11" x14ac:dyDescent="0.3">
      <c r="K1309" s="7"/>
    </row>
    <row r="1310" spans="11:11" x14ac:dyDescent="0.3">
      <c r="K1310" s="7"/>
    </row>
    <row r="1311" spans="11:11" x14ac:dyDescent="0.3">
      <c r="K1311" s="7"/>
    </row>
    <row r="1312" spans="11:11" x14ac:dyDescent="0.3">
      <c r="K1312" s="7"/>
    </row>
    <row r="1313" spans="11:11" x14ac:dyDescent="0.3">
      <c r="K1313" s="7"/>
    </row>
    <row r="1314" spans="11:11" x14ac:dyDescent="0.3">
      <c r="K1314" s="7"/>
    </row>
    <row r="1315" spans="11:11" x14ac:dyDescent="0.3">
      <c r="K1315" s="7"/>
    </row>
    <row r="1316" spans="11:11" x14ac:dyDescent="0.3">
      <c r="K1316" s="7"/>
    </row>
    <row r="1317" spans="11:11" x14ac:dyDescent="0.3">
      <c r="K1317" s="7"/>
    </row>
    <row r="1318" spans="11:11" x14ac:dyDescent="0.3">
      <c r="K1318" s="7"/>
    </row>
    <row r="1319" spans="11:11" x14ac:dyDescent="0.3">
      <c r="K1319" s="7"/>
    </row>
    <row r="1320" spans="11:11" x14ac:dyDescent="0.3">
      <c r="K1320" s="7"/>
    </row>
    <row r="1321" spans="11:11" x14ac:dyDescent="0.3">
      <c r="K1321" s="7"/>
    </row>
    <row r="1322" spans="11:11" x14ac:dyDescent="0.3">
      <c r="K1322" s="7"/>
    </row>
    <row r="1323" spans="11:11" x14ac:dyDescent="0.3">
      <c r="K1323" s="7"/>
    </row>
    <row r="1324" spans="11:11" x14ac:dyDescent="0.3">
      <c r="K1324" s="7"/>
    </row>
    <row r="1325" spans="11:11" x14ac:dyDescent="0.3">
      <c r="K1325" s="7"/>
    </row>
    <row r="1326" spans="11:11" x14ac:dyDescent="0.3">
      <c r="K1326" s="7"/>
    </row>
    <row r="1327" spans="11:11" x14ac:dyDescent="0.3">
      <c r="K1327" s="7"/>
    </row>
    <row r="1328" spans="11:11" x14ac:dyDescent="0.3">
      <c r="K1328" s="7"/>
    </row>
    <row r="1329" spans="11:11" x14ac:dyDescent="0.3">
      <c r="K1329" s="7"/>
    </row>
    <row r="1330" spans="11:11" x14ac:dyDescent="0.3">
      <c r="K1330" s="7"/>
    </row>
    <row r="1331" spans="11:11" x14ac:dyDescent="0.3">
      <c r="K1331" s="7"/>
    </row>
    <row r="1332" spans="11:11" x14ac:dyDescent="0.3">
      <c r="K1332" s="7"/>
    </row>
    <row r="1333" spans="11:11" x14ac:dyDescent="0.3">
      <c r="K1333" s="7"/>
    </row>
    <row r="1334" spans="11:11" x14ac:dyDescent="0.3">
      <c r="K1334" s="7"/>
    </row>
    <row r="1335" spans="11:11" x14ac:dyDescent="0.3">
      <c r="K1335" s="7"/>
    </row>
    <row r="1336" spans="11:11" x14ac:dyDescent="0.3">
      <c r="K1336" s="7"/>
    </row>
    <row r="1337" spans="11:11" x14ac:dyDescent="0.3">
      <c r="K1337" s="7"/>
    </row>
    <row r="1338" spans="11:11" x14ac:dyDescent="0.3">
      <c r="K1338" s="7"/>
    </row>
    <row r="1339" spans="11:11" x14ac:dyDescent="0.3">
      <c r="K1339" s="7"/>
    </row>
    <row r="1340" spans="11:11" x14ac:dyDescent="0.3">
      <c r="K1340" s="7"/>
    </row>
    <row r="1341" spans="11:11" x14ac:dyDescent="0.3">
      <c r="K1341" s="7"/>
    </row>
    <row r="1342" spans="11:11" x14ac:dyDescent="0.3">
      <c r="K1342" s="7"/>
    </row>
    <row r="1343" spans="11:11" x14ac:dyDescent="0.3">
      <c r="K1343" s="7"/>
    </row>
    <row r="1344" spans="11:11" x14ac:dyDescent="0.3">
      <c r="K1344" s="7"/>
    </row>
    <row r="1345" spans="11:11" x14ac:dyDescent="0.3">
      <c r="K1345" s="7"/>
    </row>
    <row r="1346" spans="11:11" x14ac:dyDescent="0.3">
      <c r="K1346" s="7"/>
    </row>
    <row r="1347" spans="11:11" x14ac:dyDescent="0.3">
      <c r="K1347" s="7"/>
    </row>
    <row r="1348" spans="11:11" x14ac:dyDescent="0.3">
      <c r="K1348" s="7"/>
    </row>
    <row r="1349" spans="11:11" x14ac:dyDescent="0.3">
      <c r="K1349" s="7"/>
    </row>
    <row r="1350" spans="11:11" x14ac:dyDescent="0.3">
      <c r="K1350" s="7"/>
    </row>
    <row r="1351" spans="11:11" x14ac:dyDescent="0.3">
      <c r="K1351" s="7"/>
    </row>
    <row r="1352" spans="11:11" x14ac:dyDescent="0.3">
      <c r="K1352" s="7"/>
    </row>
    <row r="1353" spans="11:11" x14ac:dyDescent="0.3">
      <c r="K1353" s="7"/>
    </row>
    <row r="1354" spans="11:11" x14ac:dyDescent="0.3">
      <c r="K1354" s="7"/>
    </row>
    <row r="1355" spans="11:11" x14ac:dyDescent="0.3">
      <c r="K1355" s="7"/>
    </row>
    <row r="1356" spans="11:11" x14ac:dyDescent="0.3">
      <c r="K1356" s="7"/>
    </row>
    <row r="1357" spans="11:11" x14ac:dyDescent="0.3">
      <c r="K1357" s="7"/>
    </row>
    <row r="1358" spans="11:11" x14ac:dyDescent="0.3">
      <c r="K1358" s="7"/>
    </row>
    <row r="1359" spans="11:11" x14ac:dyDescent="0.3">
      <c r="K1359" s="7"/>
    </row>
    <row r="1360" spans="11:11" x14ac:dyDescent="0.3">
      <c r="K1360" s="7"/>
    </row>
    <row r="1361" spans="11:11" x14ac:dyDescent="0.3">
      <c r="K1361" s="7"/>
    </row>
    <row r="1362" spans="11:11" x14ac:dyDescent="0.3">
      <c r="K1362" s="7"/>
    </row>
    <row r="1363" spans="11:11" x14ac:dyDescent="0.3">
      <c r="K1363" s="7"/>
    </row>
    <row r="1364" spans="11:11" x14ac:dyDescent="0.3">
      <c r="K1364" s="7"/>
    </row>
    <row r="1365" spans="11:11" x14ac:dyDescent="0.3">
      <c r="K1365" s="7"/>
    </row>
    <row r="1366" spans="11:11" x14ac:dyDescent="0.3">
      <c r="K1366" s="7"/>
    </row>
    <row r="1367" spans="11:11" x14ac:dyDescent="0.3">
      <c r="K1367" s="7"/>
    </row>
    <row r="1368" spans="11:11" x14ac:dyDescent="0.3">
      <c r="K1368" s="7"/>
    </row>
    <row r="1369" spans="11:11" x14ac:dyDescent="0.3">
      <c r="K1369" s="7"/>
    </row>
    <row r="1370" spans="11:11" x14ac:dyDescent="0.3">
      <c r="K1370" s="7"/>
    </row>
    <row r="1371" spans="11:11" x14ac:dyDescent="0.3">
      <c r="K1371" s="7"/>
    </row>
    <row r="1372" spans="11:11" x14ac:dyDescent="0.3">
      <c r="K1372" s="7"/>
    </row>
    <row r="1373" spans="11:11" x14ac:dyDescent="0.3">
      <c r="K1373" s="7"/>
    </row>
    <row r="1374" spans="11:11" x14ac:dyDescent="0.3">
      <c r="K1374" s="7"/>
    </row>
    <row r="1375" spans="11:11" x14ac:dyDescent="0.3">
      <c r="K1375" s="7"/>
    </row>
    <row r="1376" spans="11:11" x14ac:dyDescent="0.3">
      <c r="K1376" s="7"/>
    </row>
    <row r="1377" spans="11:11" x14ac:dyDescent="0.3">
      <c r="K1377" s="7"/>
    </row>
    <row r="1378" spans="11:11" x14ac:dyDescent="0.3">
      <c r="K1378" s="7"/>
    </row>
    <row r="1379" spans="11:11" x14ac:dyDescent="0.3">
      <c r="K1379" s="7"/>
    </row>
    <row r="1380" spans="11:11" x14ac:dyDescent="0.3">
      <c r="K1380" s="7"/>
    </row>
    <row r="1381" spans="11:11" x14ac:dyDescent="0.3">
      <c r="K1381" s="7"/>
    </row>
    <row r="1382" spans="11:11" x14ac:dyDescent="0.3">
      <c r="K1382" s="7"/>
    </row>
    <row r="1383" spans="11:11" x14ac:dyDescent="0.3">
      <c r="K1383" s="7"/>
    </row>
    <row r="1384" spans="11:11" x14ac:dyDescent="0.3">
      <c r="K1384" s="7"/>
    </row>
    <row r="1385" spans="11:11" x14ac:dyDescent="0.3">
      <c r="K1385" s="7"/>
    </row>
    <row r="1386" spans="11:11" x14ac:dyDescent="0.3">
      <c r="K1386" s="7"/>
    </row>
    <row r="1387" spans="11:11" x14ac:dyDescent="0.3">
      <c r="K1387" s="7"/>
    </row>
    <row r="1388" spans="11:11" x14ac:dyDescent="0.3">
      <c r="K1388" s="7"/>
    </row>
    <row r="1389" spans="11:11" x14ac:dyDescent="0.3">
      <c r="K1389" s="7"/>
    </row>
    <row r="1390" spans="11:11" x14ac:dyDescent="0.3">
      <c r="K1390" s="7"/>
    </row>
    <row r="1391" spans="11:11" x14ac:dyDescent="0.3">
      <c r="K1391" s="7"/>
    </row>
    <row r="1392" spans="11:11" x14ac:dyDescent="0.3">
      <c r="K1392" s="7"/>
    </row>
    <row r="1393" spans="11:11" x14ac:dyDescent="0.3">
      <c r="K1393" s="7"/>
    </row>
    <row r="1394" spans="11:11" x14ac:dyDescent="0.3">
      <c r="K1394" s="7"/>
    </row>
    <row r="1395" spans="11:11" x14ac:dyDescent="0.3">
      <c r="K1395" s="7"/>
    </row>
    <row r="1396" spans="11:11" x14ac:dyDescent="0.3">
      <c r="K1396" s="7"/>
    </row>
    <row r="1397" spans="11:11" x14ac:dyDescent="0.3">
      <c r="K1397" s="7"/>
    </row>
    <row r="1398" spans="11:11" x14ac:dyDescent="0.3">
      <c r="K1398" s="7"/>
    </row>
    <row r="1399" spans="11:11" x14ac:dyDescent="0.3">
      <c r="K1399" s="7"/>
    </row>
    <row r="1400" spans="11:11" x14ac:dyDescent="0.3">
      <c r="K1400" s="7"/>
    </row>
    <row r="1401" spans="11:11" x14ac:dyDescent="0.3">
      <c r="K1401" s="7"/>
    </row>
    <row r="1402" spans="11:11" x14ac:dyDescent="0.3">
      <c r="K1402" s="7"/>
    </row>
    <row r="1403" spans="11:11" x14ac:dyDescent="0.3">
      <c r="K1403" s="7"/>
    </row>
    <row r="1404" spans="11:11" x14ac:dyDescent="0.3">
      <c r="K1404" s="7"/>
    </row>
    <row r="1405" spans="11:11" x14ac:dyDescent="0.3">
      <c r="K1405" s="7"/>
    </row>
    <row r="1406" spans="11:11" x14ac:dyDescent="0.3">
      <c r="K1406" s="7"/>
    </row>
    <row r="1407" spans="11:11" x14ac:dyDescent="0.3">
      <c r="K1407" s="7"/>
    </row>
    <row r="1408" spans="11:11" x14ac:dyDescent="0.3">
      <c r="K1408" s="7"/>
    </row>
    <row r="1409" spans="11:11" x14ac:dyDescent="0.3">
      <c r="K1409" s="7"/>
    </row>
    <row r="1410" spans="11:11" x14ac:dyDescent="0.3">
      <c r="K1410" s="7"/>
    </row>
    <row r="1411" spans="11:11" x14ac:dyDescent="0.3">
      <c r="K1411" s="7"/>
    </row>
    <row r="1412" spans="11:11" x14ac:dyDescent="0.3">
      <c r="K1412" s="7"/>
    </row>
    <row r="1413" spans="11:11" x14ac:dyDescent="0.3">
      <c r="K1413" s="7"/>
    </row>
    <row r="1414" spans="11:11" x14ac:dyDescent="0.3">
      <c r="K1414" s="7"/>
    </row>
    <row r="1415" spans="11:11" x14ac:dyDescent="0.3">
      <c r="K1415" s="7"/>
    </row>
    <row r="1416" spans="11:11" x14ac:dyDescent="0.3">
      <c r="K1416" s="7"/>
    </row>
    <row r="1417" spans="11:11" x14ac:dyDescent="0.3">
      <c r="K1417" s="7"/>
    </row>
    <row r="1418" spans="11:11" x14ac:dyDescent="0.3">
      <c r="K1418" s="7"/>
    </row>
    <row r="1419" spans="11:11" x14ac:dyDescent="0.3">
      <c r="K1419" s="7"/>
    </row>
    <row r="1420" spans="11:11" x14ac:dyDescent="0.3">
      <c r="K1420" s="7"/>
    </row>
    <row r="1421" spans="11:11" x14ac:dyDescent="0.3">
      <c r="K1421" s="7"/>
    </row>
    <row r="1422" spans="11:11" x14ac:dyDescent="0.3">
      <c r="K1422" s="7"/>
    </row>
    <row r="1423" spans="11:11" x14ac:dyDescent="0.3">
      <c r="K1423" s="7"/>
    </row>
    <row r="1424" spans="11:11" x14ac:dyDescent="0.3">
      <c r="K1424" s="7"/>
    </row>
    <row r="1425" spans="11:11" x14ac:dyDescent="0.3">
      <c r="K1425" s="7"/>
    </row>
    <row r="1426" spans="11:11" x14ac:dyDescent="0.3">
      <c r="K1426" s="7"/>
    </row>
    <row r="1427" spans="11:11" x14ac:dyDescent="0.3">
      <c r="K1427" s="7"/>
    </row>
    <row r="1428" spans="11:11" x14ac:dyDescent="0.3">
      <c r="K1428" s="7"/>
    </row>
    <row r="1429" spans="11:11" x14ac:dyDescent="0.3">
      <c r="K1429" s="7"/>
    </row>
    <row r="1430" spans="11:11" x14ac:dyDescent="0.3">
      <c r="K1430" s="7"/>
    </row>
    <row r="1431" spans="11:11" x14ac:dyDescent="0.3">
      <c r="K1431" s="7"/>
    </row>
    <row r="1432" spans="11:11" x14ac:dyDescent="0.3">
      <c r="K1432" s="7"/>
    </row>
    <row r="1433" spans="11:11" x14ac:dyDescent="0.3">
      <c r="K1433" s="7"/>
    </row>
    <row r="1434" spans="11:11" x14ac:dyDescent="0.3">
      <c r="K1434" s="7"/>
    </row>
    <row r="1435" spans="11:11" x14ac:dyDescent="0.3">
      <c r="K1435" s="7"/>
    </row>
    <row r="1436" spans="11:11" x14ac:dyDescent="0.3">
      <c r="K1436" s="7"/>
    </row>
    <row r="1437" spans="11:11" x14ac:dyDescent="0.3">
      <c r="K1437" s="7"/>
    </row>
    <row r="1438" spans="11:11" x14ac:dyDescent="0.3">
      <c r="K1438" s="7"/>
    </row>
    <row r="1439" spans="11:11" x14ac:dyDescent="0.3">
      <c r="K1439" s="7"/>
    </row>
    <row r="1440" spans="11:11" x14ac:dyDescent="0.3">
      <c r="K1440" s="7"/>
    </row>
    <row r="1441" spans="11:11" x14ac:dyDescent="0.3">
      <c r="K1441" s="7"/>
    </row>
    <row r="1442" spans="11:11" x14ac:dyDescent="0.3">
      <c r="K1442" s="7"/>
    </row>
    <row r="1443" spans="11:11" x14ac:dyDescent="0.3">
      <c r="K1443" s="7"/>
    </row>
    <row r="1444" spans="11:11" x14ac:dyDescent="0.3">
      <c r="K1444" s="7"/>
    </row>
    <row r="1445" spans="11:11" x14ac:dyDescent="0.3">
      <c r="K1445" s="7"/>
    </row>
    <row r="1446" spans="11:11" x14ac:dyDescent="0.3">
      <c r="K1446" s="7"/>
    </row>
    <row r="1447" spans="11:11" x14ac:dyDescent="0.3">
      <c r="K1447" s="7"/>
    </row>
    <row r="1448" spans="11:11" x14ac:dyDescent="0.3">
      <c r="K1448" s="7"/>
    </row>
    <row r="1449" spans="11:11" x14ac:dyDescent="0.3">
      <c r="K1449" s="7"/>
    </row>
    <row r="1450" spans="11:11" x14ac:dyDescent="0.3">
      <c r="K1450" s="7"/>
    </row>
    <row r="1451" spans="11:11" x14ac:dyDescent="0.3">
      <c r="K1451" s="7"/>
    </row>
    <row r="1452" spans="11:11" x14ac:dyDescent="0.3">
      <c r="K1452" s="7"/>
    </row>
    <row r="1453" spans="11:11" x14ac:dyDescent="0.3">
      <c r="K1453" s="7"/>
    </row>
    <row r="1454" spans="11:11" x14ac:dyDescent="0.3">
      <c r="K1454" s="7"/>
    </row>
    <row r="1455" spans="11:11" x14ac:dyDescent="0.3">
      <c r="K1455" s="7"/>
    </row>
    <row r="1456" spans="11:11" x14ac:dyDescent="0.3">
      <c r="K1456" s="7"/>
    </row>
    <row r="1457" spans="11:11" x14ac:dyDescent="0.3">
      <c r="K1457" s="7"/>
    </row>
    <row r="1458" spans="11:11" x14ac:dyDescent="0.3">
      <c r="K1458" s="7"/>
    </row>
    <row r="1459" spans="11:11" x14ac:dyDescent="0.3">
      <c r="K1459" s="7"/>
    </row>
    <row r="1460" spans="11:11" x14ac:dyDescent="0.3">
      <c r="K1460" s="7"/>
    </row>
    <row r="1461" spans="11:11" x14ac:dyDescent="0.3">
      <c r="K1461" s="7"/>
    </row>
    <row r="1462" spans="11:11" x14ac:dyDescent="0.3">
      <c r="K1462" s="7"/>
    </row>
    <row r="1463" spans="11:11" x14ac:dyDescent="0.3">
      <c r="K1463" s="7"/>
    </row>
    <row r="1464" spans="11:11" x14ac:dyDescent="0.3">
      <c r="K1464" s="7"/>
    </row>
    <row r="1465" spans="11:11" x14ac:dyDescent="0.3">
      <c r="K1465" s="7"/>
    </row>
    <row r="1466" spans="11:11" x14ac:dyDescent="0.3">
      <c r="K1466" s="7"/>
    </row>
    <row r="1467" spans="11:11" x14ac:dyDescent="0.3">
      <c r="K1467" s="7"/>
    </row>
    <row r="1468" spans="11:11" x14ac:dyDescent="0.3">
      <c r="K1468" s="7"/>
    </row>
    <row r="1469" spans="11:11" x14ac:dyDescent="0.3">
      <c r="K1469" s="7"/>
    </row>
    <row r="1470" spans="11:11" x14ac:dyDescent="0.3">
      <c r="K1470" s="7"/>
    </row>
    <row r="1471" spans="11:11" x14ac:dyDescent="0.3">
      <c r="K1471" s="7"/>
    </row>
    <row r="1472" spans="11:11" x14ac:dyDescent="0.3">
      <c r="K1472" s="7"/>
    </row>
    <row r="1473" spans="11:11" x14ac:dyDescent="0.3">
      <c r="K1473" s="7"/>
    </row>
    <row r="1474" spans="11:11" x14ac:dyDescent="0.3">
      <c r="K1474" s="7"/>
    </row>
    <row r="1475" spans="11:11" x14ac:dyDescent="0.3">
      <c r="K1475" s="7"/>
    </row>
    <row r="1476" spans="11:11" x14ac:dyDescent="0.3">
      <c r="K1476" s="7"/>
    </row>
    <row r="1477" spans="11:11" x14ac:dyDescent="0.3">
      <c r="K1477" s="7"/>
    </row>
    <row r="1478" spans="11:11" x14ac:dyDescent="0.3">
      <c r="K1478" s="7"/>
    </row>
    <row r="1479" spans="11:11" x14ac:dyDescent="0.3">
      <c r="K1479" s="7"/>
    </row>
    <row r="1480" spans="11:11" x14ac:dyDescent="0.3">
      <c r="K1480" s="7"/>
    </row>
    <row r="1481" spans="11:11" x14ac:dyDescent="0.3">
      <c r="K1481" s="7"/>
    </row>
    <row r="1482" spans="11:11" x14ac:dyDescent="0.3">
      <c r="K1482" s="7"/>
    </row>
    <row r="1483" spans="11:11" x14ac:dyDescent="0.3">
      <c r="K1483" s="7"/>
    </row>
    <row r="1484" spans="11:11" x14ac:dyDescent="0.3">
      <c r="K1484" s="7"/>
    </row>
    <row r="1485" spans="11:11" x14ac:dyDescent="0.3">
      <c r="K1485" s="7"/>
    </row>
    <row r="1486" spans="11:11" x14ac:dyDescent="0.3">
      <c r="K1486" s="7"/>
    </row>
    <row r="1487" spans="11:11" x14ac:dyDescent="0.3">
      <c r="K1487" s="7"/>
    </row>
    <row r="1488" spans="11:11" x14ac:dyDescent="0.3">
      <c r="K1488" s="7"/>
    </row>
    <row r="1489" spans="11:11" x14ac:dyDescent="0.3">
      <c r="K1489" s="7"/>
    </row>
    <row r="1490" spans="11:11" x14ac:dyDescent="0.3">
      <c r="K1490" s="7"/>
    </row>
    <row r="1491" spans="11:11" x14ac:dyDescent="0.3">
      <c r="K1491" s="7"/>
    </row>
    <row r="1492" spans="11:11" x14ac:dyDescent="0.3">
      <c r="K1492" s="7"/>
    </row>
    <row r="1493" spans="11:11" x14ac:dyDescent="0.3">
      <c r="K1493" s="7"/>
    </row>
    <row r="1494" spans="11:11" x14ac:dyDescent="0.3">
      <c r="K1494" s="7"/>
    </row>
    <row r="1495" spans="11:11" x14ac:dyDescent="0.3">
      <c r="K1495" s="7"/>
    </row>
    <row r="1496" spans="11:11" x14ac:dyDescent="0.3">
      <c r="K1496" s="7"/>
    </row>
    <row r="1497" spans="11:11" x14ac:dyDescent="0.3">
      <c r="K1497" s="7"/>
    </row>
    <row r="1498" spans="11:11" x14ac:dyDescent="0.3">
      <c r="K1498" s="7"/>
    </row>
    <row r="1499" spans="11:11" x14ac:dyDescent="0.3">
      <c r="K1499" s="7"/>
    </row>
    <row r="1500" spans="11:11" x14ac:dyDescent="0.3">
      <c r="K1500" s="7"/>
    </row>
    <row r="1501" spans="11:11" x14ac:dyDescent="0.3">
      <c r="K1501" s="7"/>
    </row>
    <row r="1502" spans="11:11" x14ac:dyDescent="0.3">
      <c r="K1502" s="7"/>
    </row>
    <row r="1503" spans="11:11" x14ac:dyDescent="0.3">
      <c r="K1503" s="7"/>
    </row>
    <row r="1504" spans="11:11" x14ac:dyDescent="0.3">
      <c r="K1504" s="7"/>
    </row>
    <row r="1505" spans="11:11" x14ac:dyDescent="0.3">
      <c r="K1505" s="7"/>
    </row>
    <row r="1506" spans="11:11" x14ac:dyDescent="0.3">
      <c r="K1506" s="7"/>
    </row>
    <row r="1507" spans="11:11" x14ac:dyDescent="0.3">
      <c r="K1507" s="7"/>
    </row>
    <row r="1508" spans="11:11" x14ac:dyDescent="0.3">
      <c r="K1508" s="7"/>
    </row>
    <row r="1509" spans="11:11" x14ac:dyDescent="0.3">
      <c r="K1509" s="7"/>
    </row>
    <row r="1510" spans="11:11" x14ac:dyDescent="0.3">
      <c r="K1510" s="7"/>
    </row>
    <row r="1511" spans="11:11" x14ac:dyDescent="0.3">
      <c r="K1511" s="7"/>
    </row>
    <row r="1512" spans="11:11" x14ac:dyDescent="0.3">
      <c r="K1512" s="7"/>
    </row>
    <row r="1513" spans="11:11" x14ac:dyDescent="0.3">
      <c r="K1513" s="7"/>
    </row>
    <row r="1514" spans="11:11" x14ac:dyDescent="0.3">
      <c r="K1514" s="7"/>
    </row>
    <row r="1515" spans="11:11" x14ac:dyDescent="0.3">
      <c r="K1515" s="7"/>
    </row>
    <row r="1516" spans="11:11" x14ac:dyDescent="0.3">
      <c r="K1516" s="7"/>
    </row>
    <row r="1517" spans="11:11" x14ac:dyDescent="0.3">
      <c r="K1517" s="7"/>
    </row>
    <row r="1518" spans="11:11" x14ac:dyDescent="0.3">
      <c r="K1518" s="7"/>
    </row>
    <row r="1519" spans="11:11" x14ac:dyDescent="0.3">
      <c r="K1519" s="7"/>
    </row>
    <row r="1520" spans="11:11" x14ac:dyDescent="0.3">
      <c r="K1520" s="7"/>
    </row>
    <row r="1521" spans="11:11" x14ac:dyDescent="0.3">
      <c r="K1521" s="7"/>
    </row>
    <row r="1522" spans="11:11" x14ac:dyDescent="0.3">
      <c r="K1522" s="7"/>
    </row>
    <row r="1523" spans="11:11" x14ac:dyDescent="0.3">
      <c r="K1523" s="7"/>
    </row>
    <row r="1524" spans="11:11" x14ac:dyDescent="0.3">
      <c r="K1524" s="7"/>
    </row>
    <row r="1525" spans="11:11" x14ac:dyDescent="0.3">
      <c r="K1525" s="7"/>
    </row>
    <row r="1526" spans="11:11" x14ac:dyDescent="0.3">
      <c r="K1526" s="7"/>
    </row>
    <row r="1527" spans="11:11" x14ac:dyDescent="0.3">
      <c r="K1527" s="7"/>
    </row>
    <row r="1528" spans="11:11" x14ac:dyDescent="0.3">
      <c r="K1528" s="7"/>
    </row>
    <row r="1529" spans="11:11" x14ac:dyDescent="0.3">
      <c r="K1529" s="7"/>
    </row>
    <row r="1530" spans="11:11" x14ac:dyDescent="0.3">
      <c r="K1530" s="7"/>
    </row>
    <row r="1531" spans="11:11" x14ac:dyDescent="0.3">
      <c r="K1531" s="7"/>
    </row>
    <row r="1532" spans="11:11" x14ac:dyDescent="0.3">
      <c r="K1532" s="7"/>
    </row>
    <row r="1533" spans="11:11" x14ac:dyDescent="0.3">
      <c r="K1533" s="7"/>
    </row>
    <row r="1534" spans="11:11" x14ac:dyDescent="0.3">
      <c r="K1534" s="7"/>
    </row>
    <row r="1535" spans="11:11" x14ac:dyDescent="0.3">
      <c r="K1535" s="7"/>
    </row>
    <row r="1536" spans="11:11" x14ac:dyDescent="0.3">
      <c r="K1536" s="7"/>
    </row>
    <row r="1537" spans="11:11" x14ac:dyDescent="0.3">
      <c r="K1537" s="7"/>
    </row>
    <row r="1538" spans="11:11" x14ac:dyDescent="0.3">
      <c r="K1538" s="7"/>
    </row>
    <row r="1539" spans="11:11" x14ac:dyDescent="0.3">
      <c r="K1539" s="7"/>
    </row>
    <row r="1540" spans="11:11" x14ac:dyDescent="0.3">
      <c r="K1540" s="7"/>
    </row>
    <row r="1541" spans="11:11" x14ac:dyDescent="0.3">
      <c r="K1541" s="7"/>
    </row>
    <row r="1542" spans="11:11" x14ac:dyDescent="0.3">
      <c r="K1542" s="7"/>
    </row>
    <row r="1543" spans="11:11" x14ac:dyDescent="0.3">
      <c r="K1543" s="7"/>
    </row>
    <row r="1544" spans="11:11" x14ac:dyDescent="0.3">
      <c r="K1544" s="7"/>
    </row>
    <row r="1545" spans="11:11" x14ac:dyDescent="0.3">
      <c r="K1545" s="7"/>
    </row>
    <row r="1546" spans="11:11" x14ac:dyDescent="0.3">
      <c r="K1546" s="7"/>
    </row>
    <row r="1547" spans="11:11" x14ac:dyDescent="0.3">
      <c r="K1547" s="7"/>
    </row>
    <row r="1548" spans="11:11" x14ac:dyDescent="0.3">
      <c r="K1548" s="7"/>
    </row>
    <row r="1549" spans="11:11" x14ac:dyDescent="0.3">
      <c r="K1549" s="7"/>
    </row>
    <row r="1550" spans="11:11" x14ac:dyDescent="0.3">
      <c r="K1550" s="7"/>
    </row>
    <row r="1551" spans="11:11" x14ac:dyDescent="0.3">
      <c r="K1551" s="7"/>
    </row>
    <row r="1552" spans="11:11" x14ac:dyDescent="0.3">
      <c r="K1552" s="7"/>
    </row>
    <row r="1553" spans="11:11" x14ac:dyDescent="0.3">
      <c r="K1553" s="7"/>
    </row>
    <row r="1554" spans="11:11" x14ac:dyDescent="0.3">
      <c r="K1554" s="7"/>
    </row>
    <row r="1555" spans="11:11" x14ac:dyDescent="0.3">
      <c r="K1555" s="7"/>
    </row>
    <row r="1556" spans="11:11" x14ac:dyDescent="0.3">
      <c r="K1556" s="7"/>
    </row>
    <row r="1557" spans="11:11" x14ac:dyDescent="0.3">
      <c r="K1557" s="7"/>
    </row>
    <row r="1558" spans="11:11" x14ac:dyDescent="0.3">
      <c r="K1558" s="7"/>
    </row>
    <row r="1559" spans="11:11" x14ac:dyDescent="0.3">
      <c r="K1559" s="7"/>
    </row>
    <row r="1560" spans="11:11" x14ac:dyDescent="0.3">
      <c r="K1560" s="7"/>
    </row>
    <row r="1561" spans="11:11" x14ac:dyDescent="0.3">
      <c r="K1561" s="7"/>
    </row>
    <row r="1562" spans="11:11" x14ac:dyDescent="0.3">
      <c r="K1562" s="7"/>
    </row>
    <row r="1563" spans="11:11" x14ac:dyDescent="0.3">
      <c r="K1563" s="7"/>
    </row>
    <row r="1564" spans="11:11" x14ac:dyDescent="0.3">
      <c r="K1564" s="7"/>
    </row>
    <row r="1565" spans="11:11" x14ac:dyDescent="0.3">
      <c r="K1565" s="7"/>
    </row>
    <row r="1566" spans="11:11" x14ac:dyDescent="0.3">
      <c r="K1566" s="7"/>
    </row>
    <row r="1567" spans="11:11" x14ac:dyDescent="0.3">
      <c r="K1567" s="7"/>
    </row>
    <row r="1568" spans="11:11" x14ac:dyDescent="0.3">
      <c r="K1568" s="7"/>
    </row>
    <row r="1569" spans="11:11" x14ac:dyDescent="0.3">
      <c r="K1569" s="7"/>
    </row>
    <row r="1570" spans="11:11" x14ac:dyDescent="0.3">
      <c r="K1570" s="7"/>
    </row>
    <row r="1571" spans="11:11" x14ac:dyDescent="0.3">
      <c r="K1571" s="7"/>
    </row>
    <row r="1572" spans="11:11" x14ac:dyDescent="0.3">
      <c r="K1572" s="7"/>
    </row>
    <row r="1573" spans="11:11" x14ac:dyDescent="0.3">
      <c r="K1573" s="7"/>
    </row>
    <row r="1574" spans="11:11" x14ac:dyDescent="0.3">
      <c r="K1574" s="7"/>
    </row>
    <row r="1575" spans="11:11" x14ac:dyDescent="0.3">
      <c r="K1575" s="7"/>
    </row>
    <row r="1576" spans="11:11" x14ac:dyDescent="0.3">
      <c r="K1576" s="7"/>
    </row>
    <row r="1577" spans="11:11" x14ac:dyDescent="0.3">
      <c r="K1577" s="7"/>
    </row>
    <row r="1578" spans="11:11" x14ac:dyDescent="0.3">
      <c r="K1578" s="7"/>
    </row>
    <row r="1579" spans="11:11" x14ac:dyDescent="0.3">
      <c r="K1579" s="7"/>
    </row>
    <row r="1580" spans="11:11" x14ac:dyDescent="0.3">
      <c r="K1580" s="7"/>
    </row>
    <row r="1581" spans="11:11" x14ac:dyDescent="0.3">
      <c r="K1581" s="7"/>
    </row>
    <row r="1582" spans="11:11" x14ac:dyDescent="0.3">
      <c r="K1582" s="7"/>
    </row>
    <row r="1583" spans="11:11" x14ac:dyDescent="0.3">
      <c r="K1583" s="7"/>
    </row>
    <row r="1584" spans="11:11" x14ac:dyDescent="0.3">
      <c r="K1584" s="7"/>
    </row>
    <row r="1585" spans="11:11" x14ac:dyDescent="0.3">
      <c r="K1585" s="7"/>
    </row>
    <row r="1586" spans="11:11" x14ac:dyDescent="0.3">
      <c r="K1586" s="7"/>
    </row>
    <row r="1587" spans="11:11" x14ac:dyDescent="0.3">
      <c r="K1587" s="7"/>
    </row>
    <row r="1588" spans="11:11" x14ac:dyDescent="0.3">
      <c r="K1588" s="7"/>
    </row>
    <row r="1589" spans="11:11" x14ac:dyDescent="0.3">
      <c r="K1589" s="7"/>
    </row>
    <row r="1590" spans="11:11" x14ac:dyDescent="0.3">
      <c r="K1590" s="7"/>
    </row>
    <row r="1591" spans="11:11" x14ac:dyDescent="0.3">
      <c r="K1591" s="7"/>
    </row>
    <row r="1592" spans="11:11" x14ac:dyDescent="0.3">
      <c r="K1592" s="7"/>
    </row>
    <row r="1593" spans="11:11" x14ac:dyDescent="0.3">
      <c r="K1593" s="7"/>
    </row>
    <row r="1594" spans="11:11" x14ac:dyDescent="0.3">
      <c r="K1594" s="7"/>
    </row>
    <row r="1595" spans="11:11" x14ac:dyDescent="0.3">
      <c r="K1595" s="7"/>
    </row>
    <row r="1596" spans="11:11" x14ac:dyDescent="0.3">
      <c r="K1596" s="7"/>
    </row>
    <row r="1597" spans="11:11" x14ac:dyDescent="0.3">
      <c r="K1597" s="7"/>
    </row>
    <row r="1598" spans="11:11" x14ac:dyDescent="0.3">
      <c r="K1598" s="7"/>
    </row>
    <row r="1599" spans="11:11" x14ac:dyDescent="0.3">
      <c r="K1599" s="7"/>
    </row>
    <row r="1600" spans="11:11" x14ac:dyDescent="0.3">
      <c r="K1600" s="7"/>
    </row>
    <row r="1601" spans="11:11" x14ac:dyDescent="0.3">
      <c r="K1601" s="7"/>
    </row>
    <row r="1602" spans="11:11" x14ac:dyDescent="0.3">
      <c r="K1602" s="7"/>
    </row>
    <row r="1603" spans="11:11" x14ac:dyDescent="0.3">
      <c r="K1603" s="7"/>
    </row>
    <row r="1604" spans="11:11" x14ac:dyDescent="0.3">
      <c r="K1604" s="7"/>
    </row>
    <row r="1605" spans="11:11" x14ac:dyDescent="0.3">
      <c r="K1605" s="7"/>
    </row>
    <row r="1606" spans="11:11" x14ac:dyDescent="0.3">
      <c r="K1606" s="7"/>
    </row>
    <row r="1607" spans="11:11" x14ac:dyDescent="0.3">
      <c r="K1607" s="7"/>
    </row>
    <row r="1608" spans="11:11" x14ac:dyDescent="0.3">
      <c r="K1608" s="7"/>
    </row>
    <row r="1609" spans="11:11" x14ac:dyDescent="0.3">
      <c r="K1609" s="7"/>
    </row>
    <row r="1610" spans="11:11" x14ac:dyDescent="0.3">
      <c r="K1610" s="7"/>
    </row>
    <row r="1611" spans="11:11" x14ac:dyDescent="0.3">
      <c r="K1611" s="7"/>
    </row>
    <row r="1612" spans="11:11" x14ac:dyDescent="0.3">
      <c r="K1612" s="7"/>
    </row>
    <row r="1613" spans="11:11" x14ac:dyDescent="0.3">
      <c r="K1613" s="7"/>
    </row>
    <row r="1614" spans="11:11" x14ac:dyDescent="0.3">
      <c r="K1614" s="7"/>
    </row>
    <row r="1615" spans="11:11" x14ac:dyDescent="0.3">
      <c r="K1615" s="7"/>
    </row>
    <row r="1616" spans="11:11" x14ac:dyDescent="0.3">
      <c r="K1616" s="7"/>
    </row>
    <row r="1617" spans="11:11" x14ac:dyDescent="0.3">
      <c r="K1617" s="7"/>
    </row>
    <row r="1618" spans="11:11" x14ac:dyDescent="0.3">
      <c r="K1618" s="7"/>
    </row>
    <row r="1619" spans="11:11" x14ac:dyDescent="0.3">
      <c r="K1619" s="7"/>
    </row>
    <row r="1620" spans="11:11" x14ac:dyDescent="0.3">
      <c r="K1620" s="7"/>
    </row>
    <row r="1621" spans="11:11" x14ac:dyDescent="0.3">
      <c r="K1621" s="7"/>
    </row>
    <row r="1622" spans="11:11" x14ac:dyDescent="0.3">
      <c r="K1622" s="7"/>
    </row>
    <row r="1623" spans="11:11" x14ac:dyDescent="0.3">
      <c r="K1623" s="7"/>
    </row>
    <row r="1624" spans="11:11" x14ac:dyDescent="0.3">
      <c r="K1624" s="7"/>
    </row>
    <row r="1625" spans="11:11" x14ac:dyDescent="0.3">
      <c r="K1625" s="7"/>
    </row>
    <row r="1626" spans="11:11" x14ac:dyDescent="0.3">
      <c r="K1626" s="7"/>
    </row>
    <row r="1627" spans="11:11" x14ac:dyDescent="0.3">
      <c r="K1627" s="7"/>
    </row>
    <row r="1628" spans="11:11" x14ac:dyDescent="0.3">
      <c r="K1628" s="7"/>
    </row>
    <row r="1629" spans="11:11" x14ac:dyDescent="0.3">
      <c r="K1629" s="7"/>
    </row>
    <row r="1630" spans="11:11" x14ac:dyDescent="0.3">
      <c r="K1630" s="7"/>
    </row>
    <row r="1631" spans="11:11" x14ac:dyDescent="0.3">
      <c r="K1631" s="7"/>
    </row>
    <row r="1632" spans="11:11" x14ac:dyDescent="0.3">
      <c r="K1632" s="7"/>
    </row>
    <row r="1633" spans="11:11" x14ac:dyDescent="0.3">
      <c r="K1633" s="7"/>
    </row>
    <row r="1634" spans="11:11" x14ac:dyDescent="0.3">
      <c r="K1634" s="7"/>
    </row>
    <row r="1635" spans="11:11" x14ac:dyDescent="0.3">
      <c r="K1635" s="7"/>
    </row>
    <row r="1636" spans="11:11" x14ac:dyDescent="0.3">
      <c r="K1636" s="7"/>
    </row>
    <row r="1637" spans="11:11" x14ac:dyDescent="0.3">
      <c r="K1637" s="7"/>
    </row>
    <row r="1638" spans="11:11" x14ac:dyDescent="0.3">
      <c r="K1638" s="7"/>
    </row>
    <row r="1639" spans="11:11" x14ac:dyDescent="0.3">
      <c r="K1639" s="7"/>
    </row>
    <row r="1640" spans="11:11" x14ac:dyDescent="0.3">
      <c r="K1640" s="7"/>
    </row>
    <row r="1641" spans="11:11" x14ac:dyDescent="0.3">
      <c r="K1641" s="7"/>
    </row>
    <row r="1642" spans="11:11" x14ac:dyDescent="0.3">
      <c r="K1642" s="7"/>
    </row>
    <row r="1643" spans="11:11" x14ac:dyDescent="0.3">
      <c r="K1643" s="7"/>
    </row>
    <row r="1644" spans="11:11" x14ac:dyDescent="0.3">
      <c r="K1644" s="7"/>
    </row>
    <row r="1645" spans="11:11" x14ac:dyDescent="0.3">
      <c r="K1645" s="7"/>
    </row>
    <row r="1646" spans="11:11" x14ac:dyDescent="0.3">
      <c r="K1646" s="7"/>
    </row>
    <row r="1647" spans="11:11" x14ac:dyDescent="0.3">
      <c r="K1647" s="7"/>
    </row>
    <row r="1648" spans="11:11" x14ac:dyDescent="0.3">
      <c r="K1648" s="7"/>
    </row>
    <row r="1649" spans="11:11" x14ac:dyDescent="0.3">
      <c r="K1649" s="7"/>
    </row>
    <row r="1650" spans="11:11" x14ac:dyDescent="0.3">
      <c r="K1650" s="7"/>
    </row>
    <row r="1651" spans="11:11" x14ac:dyDescent="0.3">
      <c r="K1651" s="7"/>
    </row>
    <row r="1652" spans="11:11" x14ac:dyDescent="0.3">
      <c r="K1652" s="7"/>
    </row>
    <row r="1653" spans="11:11" x14ac:dyDescent="0.3">
      <c r="K1653" s="7"/>
    </row>
    <row r="1654" spans="11:11" x14ac:dyDescent="0.3">
      <c r="K1654" s="7"/>
    </row>
    <row r="1655" spans="11:11" x14ac:dyDescent="0.3">
      <c r="K1655" s="7"/>
    </row>
    <row r="1656" spans="11:11" x14ac:dyDescent="0.3">
      <c r="K1656" s="7"/>
    </row>
    <row r="1657" spans="11:11" x14ac:dyDescent="0.3">
      <c r="K1657" s="7"/>
    </row>
    <row r="1658" spans="11:11" x14ac:dyDescent="0.3">
      <c r="K1658" s="7"/>
    </row>
    <row r="1659" spans="11:11" x14ac:dyDescent="0.3">
      <c r="K1659" s="7"/>
    </row>
    <row r="1660" spans="11:11" x14ac:dyDescent="0.3">
      <c r="K1660" s="7"/>
    </row>
    <row r="1661" spans="11:11" x14ac:dyDescent="0.3">
      <c r="K1661" s="7"/>
    </row>
    <row r="1662" spans="11:11" x14ac:dyDescent="0.3">
      <c r="K1662" s="7"/>
    </row>
    <row r="1663" spans="11:11" x14ac:dyDescent="0.3">
      <c r="K1663" s="7"/>
    </row>
    <row r="1664" spans="11:11" x14ac:dyDescent="0.3">
      <c r="K1664" s="7"/>
    </row>
    <row r="1665" spans="11:11" x14ac:dyDescent="0.3">
      <c r="K1665" s="7"/>
    </row>
    <row r="1666" spans="11:11" x14ac:dyDescent="0.3">
      <c r="K1666" s="7"/>
    </row>
    <row r="1667" spans="11:11" x14ac:dyDescent="0.3">
      <c r="K1667" s="7"/>
    </row>
    <row r="1668" spans="11:11" x14ac:dyDescent="0.3">
      <c r="K1668" s="7"/>
    </row>
    <row r="1669" spans="11:11" x14ac:dyDescent="0.3">
      <c r="K1669" s="7"/>
    </row>
    <row r="1670" spans="11:11" x14ac:dyDescent="0.3">
      <c r="K1670" s="7"/>
    </row>
    <row r="1671" spans="11:11" x14ac:dyDescent="0.3">
      <c r="K1671" s="7"/>
    </row>
    <row r="1672" spans="11:11" x14ac:dyDescent="0.3">
      <c r="K1672" s="7"/>
    </row>
    <row r="1673" spans="11:11" x14ac:dyDescent="0.3">
      <c r="K1673" s="7"/>
    </row>
    <row r="1674" spans="11:11" x14ac:dyDescent="0.3">
      <c r="K1674" s="7"/>
    </row>
    <row r="1675" spans="11:11" x14ac:dyDescent="0.3">
      <c r="K1675" s="7"/>
    </row>
    <row r="1676" spans="11:11" x14ac:dyDescent="0.3">
      <c r="K1676" s="7"/>
    </row>
    <row r="1677" spans="11:11" x14ac:dyDescent="0.3">
      <c r="K1677" s="7"/>
    </row>
    <row r="1678" spans="11:11" x14ac:dyDescent="0.3">
      <c r="K1678" s="7"/>
    </row>
    <row r="1679" spans="11:11" x14ac:dyDescent="0.3">
      <c r="K1679" s="7"/>
    </row>
    <row r="1680" spans="11:11" x14ac:dyDescent="0.3">
      <c r="K1680" s="7"/>
    </row>
    <row r="1681" spans="11:11" x14ac:dyDescent="0.3">
      <c r="K1681" s="7"/>
    </row>
    <row r="1682" spans="11:11" x14ac:dyDescent="0.3">
      <c r="K1682" s="7"/>
    </row>
    <row r="1683" spans="11:11" x14ac:dyDescent="0.3">
      <c r="K1683" s="7"/>
    </row>
    <row r="1684" spans="11:11" x14ac:dyDescent="0.3">
      <c r="K1684" s="7"/>
    </row>
    <row r="1685" spans="11:11" x14ac:dyDescent="0.3">
      <c r="K1685" s="7"/>
    </row>
    <row r="1686" spans="11:11" x14ac:dyDescent="0.3">
      <c r="K1686" s="7"/>
    </row>
    <row r="1687" spans="11:11" x14ac:dyDescent="0.3">
      <c r="K1687" s="7"/>
    </row>
    <row r="1688" spans="11:11" x14ac:dyDescent="0.3">
      <c r="K1688" s="7"/>
    </row>
    <row r="1689" spans="11:11" x14ac:dyDescent="0.3">
      <c r="K1689" s="7"/>
    </row>
    <row r="1690" spans="11:11" x14ac:dyDescent="0.3">
      <c r="K1690" s="7"/>
    </row>
    <row r="1691" spans="11:11" x14ac:dyDescent="0.3">
      <c r="K1691" s="7"/>
    </row>
    <row r="1692" spans="11:11" x14ac:dyDescent="0.3">
      <c r="K1692" s="7"/>
    </row>
    <row r="1693" spans="11:11" x14ac:dyDescent="0.3">
      <c r="K1693" s="7"/>
    </row>
    <row r="1694" spans="11:11" x14ac:dyDescent="0.3">
      <c r="K1694" s="7"/>
    </row>
    <row r="1695" spans="11:11" x14ac:dyDescent="0.3">
      <c r="K1695" s="7"/>
    </row>
    <row r="1696" spans="11:11" x14ac:dyDescent="0.3">
      <c r="K1696" s="7"/>
    </row>
    <row r="1697" spans="11:11" x14ac:dyDescent="0.3">
      <c r="K1697" s="7"/>
    </row>
    <row r="1698" spans="11:11" x14ac:dyDescent="0.3">
      <c r="K1698" s="7"/>
    </row>
    <row r="1699" spans="11:11" x14ac:dyDescent="0.3">
      <c r="K1699" s="7"/>
    </row>
    <row r="1700" spans="11:11" x14ac:dyDescent="0.3">
      <c r="K1700" s="7"/>
    </row>
    <row r="1701" spans="11:11" x14ac:dyDescent="0.3">
      <c r="K1701" s="7"/>
    </row>
    <row r="1702" spans="11:11" x14ac:dyDescent="0.3">
      <c r="K1702" s="7"/>
    </row>
    <row r="1703" spans="11:11" x14ac:dyDescent="0.3">
      <c r="K1703" s="7"/>
    </row>
    <row r="1704" spans="11:11" x14ac:dyDescent="0.3">
      <c r="K1704" s="7"/>
    </row>
    <row r="1705" spans="11:11" x14ac:dyDescent="0.3">
      <c r="K1705" s="7"/>
    </row>
    <row r="1706" spans="11:11" x14ac:dyDescent="0.3">
      <c r="K1706" s="7"/>
    </row>
    <row r="1707" spans="11:11" x14ac:dyDescent="0.3">
      <c r="K1707" s="7"/>
    </row>
    <row r="1708" spans="11:11" x14ac:dyDescent="0.3">
      <c r="K1708" s="7"/>
    </row>
    <row r="1709" spans="11:11" x14ac:dyDescent="0.3">
      <c r="K1709" s="7"/>
    </row>
    <row r="1710" spans="11:11" x14ac:dyDescent="0.3">
      <c r="K1710" s="7"/>
    </row>
    <row r="1711" spans="11:11" x14ac:dyDescent="0.3">
      <c r="K1711" s="7"/>
    </row>
    <row r="1712" spans="11:11" x14ac:dyDescent="0.3">
      <c r="K1712" s="7"/>
    </row>
    <row r="1713" spans="11:11" x14ac:dyDescent="0.3">
      <c r="K1713" s="7"/>
    </row>
    <row r="1714" spans="11:11" x14ac:dyDescent="0.3">
      <c r="K1714" s="7"/>
    </row>
    <row r="1715" spans="11:11" x14ac:dyDescent="0.3">
      <c r="K1715" s="7"/>
    </row>
    <row r="1716" spans="11:11" x14ac:dyDescent="0.3">
      <c r="K1716" s="7"/>
    </row>
    <row r="1717" spans="11:11" x14ac:dyDescent="0.3">
      <c r="K1717" s="7"/>
    </row>
    <row r="1718" spans="11:11" x14ac:dyDescent="0.3">
      <c r="K1718" s="7"/>
    </row>
    <row r="1719" spans="11:11" x14ac:dyDescent="0.3">
      <c r="K1719" s="7"/>
    </row>
    <row r="1720" spans="11:11" x14ac:dyDescent="0.3">
      <c r="K1720" s="7"/>
    </row>
    <row r="1721" spans="11:11" x14ac:dyDescent="0.3">
      <c r="K1721" s="7"/>
    </row>
    <row r="1722" spans="11:11" x14ac:dyDescent="0.3">
      <c r="K1722" s="7"/>
    </row>
    <row r="1723" spans="11:11" x14ac:dyDescent="0.3">
      <c r="K1723" s="7"/>
    </row>
    <row r="1724" spans="11:11" x14ac:dyDescent="0.3">
      <c r="K1724" s="7"/>
    </row>
    <row r="1725" spans="11:11" x14ac:dyDescent="0.3">
      <c r="K1725" s="7"/>
    </row>
    <row r="1726" spans="11:11" x14ac:dyDescent="0.3">
      <c r="K1726" s="7"/>
    </row>
    <row r="1727" spans="11:11" x14ac:dyDescent="0.3">
      <c r="K1727" s="7"/>
    </row>
    <row r="1728" spans="11:11" x14ac:dyDescent="0.3">
      <c r="K1728" s="7"/>
    </row>
    <row r="1729" spans="11:11" x14ac:dyDescent="0.3">
      <c r="K1729" s="7"/>
    </row>
    <row r="1730" spans="11:11" x14ac:dyDescent="0.3">
      <c r="K1730" s="7"/>
    </row>
    <row r="1731" spans="11:11" x14ac:dyDescent="0.3">
      <c r="K1731" s="7"/>
    </row>
    <row r="1732" spans="11:11" x14ac:dyDescent="0.3">
      <c r="K1732" s="7"/>
    </row>
    <row r="1733" spans="11:11" x14ac:dyDescent="0.3">
      <c r="K1733" s="7"/>
    </row>
    <row r="1734" spans="11:11" x14ac:dyDescent="0.3">
      <c r="K1734" s="7"/>
    </row>
    <row r="1735" spans="11:11" x14ac:dyDescent="0.3">
      <c r="K1735" s="7"/>
    </row>
    <row r="1736" spans="11:11" x14ac:dyDescent="0.3">
      <c r="K1736" s="7"/>
    </row>
    <row r="1737" spans="11:11" x14ac:dyDescent="0.3">
      <c r="K1737" s="7"/>
    </row>
    <row r="1738" spans="11:11" x14ac:dyDescent="0.3">
      <c r="K1738" s="7"/>
    </row>
    <row r="1739" spans="11:11" x14ac:dyDescent="0.3">
      <c r="K1739" s="7"/>
    </row>
    <row r="1740" spans="11:11" x14ac:dyDescent="0.3">
      <c r="K1740" s="7"/>
    </row>
    <row r="1741" spans="11:11" x14ac:dyDescent="0.3">
      <c r="K1741" s="7"/>
    </row>
    <row r="1742" spans="11:11" x14ac:dyDescent="0.3">
      <c r="K1742" s="7"/>
    </row>
    <row r="1743" spans="11:11" x14ac:dyDescent="0.3">
      <c r="K1743" s="7"/>
    </row>
    <row r="1744" spans="11:11" x14ac:dyDescent="0.3">
      <c r="K1744" s="7"/>
    </row>
    <row r="1745" spans="11:11" x14ac:dyDescent="0.3">
      <c r="K1745" s="7"/>
    </row>
    <row r="1746" spans="11:11" x14ac:dyDescent="0.3">
      <c r="K1746" s="7"/>
    </row>
    <row r="1747" spans="11:11" x14ac:dyDescent="0.3">
      <c r="K1747" s="7"/>
    </row>
    <row r="1748" spans="11:11" x14ac:dyDescent="0.3">
      <c r="K1748" s="7"/>
    </row>
    <row r="1749" spans="11:11" x14ac:dyDescent="0.3">
      <c r="K1749" s="7"/>
    </row>
    <row r="1750" spans="11:11" x14ac:dyDescent="0.3">
      <c r="K1750" s="7"/>
    </row>
    <row r="1751" spans="11:11" x14ac:dyDescent="0.3">
      <c r="K1751" s="7"/>
    </row>
    <row r="1752" spans="11:11" x14ac:dyDescent="0.3">
      <c r="K1752" s="7"/>
    </row>
    <row r="1753" spans="11:11" x14ac:dyDescent="0.3">
      <c r="K1753" s="7"/>
    </row>
    <row r="1754" spans="11:11" x14ac:dyDescent="0.3">
      <c r="K1754" s="7"/>
    </row>
    <row r="1755" spans="11:11" x14ac:dyDescent="0.3">
      <c r="K1755" s="7"/>
    </row>
    <row r="1756" spans="11:11" x14ac:dyDescent="0.3">
      <c r="K1756" s="7"/>
    </row>
    <row r="1757" spans="11:11" x14ac:dyDescent="0.3">
      <c r="K1757" s="7"/>
    </row>
    <row r="1758" spans="11:11" x14ac:dyDescent="0.3">
      <c r="K1758" s="7"/>
    </row>
    <row r="1759" spans="11:11" x14ac:dyDescent="0.3">
      <c r="K1759" s="7"/>
    </row>
    <row r="1760" spans="11:11" x14ac:dyDescent="0.3">
      <c r="K1760" s="7"/>
    </row>
    <row r="1761" spans="11:11" x14ac:dyDescent="0.3">
      <c r="K1761" s="7"/>
    </row>
    <row r="1762" spans="11:11" x14ac:dyDescent="0.3">
      <c r="K1762" s="7"/>
    </row>
    <row r="1763" spans="11:11" x14ac:dyDescent="0.3">
      <c r="K1763" s="7"/>
    </row>
    <row r="1764" spans="11:11" x14ac:dyDescent="0.3">
      <c r="K1764" s="7"/>
    </row>
    <row r="1765" spans="11:11" x14ac:dyDescent="0.3">
      <c r="K1765" s="7"/>
    </row>
    <row r="1766" spans="11:11" x14ac:dyDescent="0.3">
      <c r="K1766" s="7"/>
    </row>
    <row r="1767" spans="11:11" x14ac:dyDescent="0.3">
      <c r="K1767" s="7"/>
    </row>
    <row r="1768" spans="11:11" x14ac:dyDescent="0.3">
      <c r="K1768" s="7"/>
    </row>
    <row r="1769" spans="11:11" x14ac:dyDescent="0.3">
      <c r="K1769" s="7"/>
    </row>
    <row r="1770" spans="11:11" x14ac:dyDescent="0.3">
      <c r="K1770" s="7"/>
    </row>
    <row r="1771" spans="11:11" x14ac:dyDescent="0.3">
      <c r="K1771" s="7"/>
    </row>
    <row r="1772" spans="11:11" x14ac:dyDescent="0.3">
      <c r="K1772" s="7"/>
    </row>
    <row r="1773" spans="11:11" x14ac:dyDescent="0.3">
      <c r="K1773" s="7"/>
    </row>
    <row r="1774" spans="11:11" x14ac:dyDescent="0.3">
      <c r="K1774" s="7"/>
    </row>
    <row r="1775" spans="11:11" x14ac:dyDescent="0.3">
      <c r="K1775" s="7"/>
    </row>
    <row r="1776" spans="11:11" x14ac:dyDescent="0.3">
      <c r="K1776" s="7"/>
    </row>
    <row r="1777" spans="11:11" x14ac:dyDescent="0.3">
      <c r="K1777" s="7"/>
    </row>
    <row r="1778" spans="11:11" x14ac:dyDescent="0.3">
      <c r="K1778" s="7"/>
    </row>
    <row r="1779" spans="11:11" x14ac:dyDescent="0.3">
      <c r="K1779" s="7"/>
    </row>
    <row r="1780" spans="11:11" x14ac:dyDescent="0.3">
      <c r="K1780" s="7"/>
    </row>
    <row r="1781" spans="11:11" x14ac:dyDescent="0.3">
      <c r="K1781" s="7"/>
    </row>
    <row r="1782" spans="11:11" x14ac:dyDescent="0.3">
      <c r="K1782" s="7"/>
    </row>
    <row r="1783" spans="11:11" x14ac:dyDescent="0.3">
      <c r="K1783" s="7"/>
    </row>
    <row r="1784" spans="11:11" x14ac:dyDescent="0.3">
      <c r="K1784" s="7"/>
    </row>
    <row r="1785" spans="11:11" x14ac:dyDescent="0.3">
      <c r="K1785" s="7"/>
    </row>
    <row r="1786" spans="11:11" x14ac:dyDescent="0.3">
      <c r="K1786" s="7"/>
    </row>
    <row r="1787" spans="11:11" x14ac:dyDescent="0.3">
      <c r="K1787" s="7"/>
    </row>
    <row r="1788" spans="11:11" x14ac:dyDescent="0.3">
      <c r="K1788" s="7"/>
    </row>
    <row r="1789" spans="11:11" x14ac:dyDescent="0.3">
      <c r="K1789" s="7"/>
    </row>
    <row r="1790" spans="11:11" x14ac:dyDescent="0.3">
      <c r="K1790" s="7"/>
    </row>
    <row r="1791" spans="11:11" x14ac:dyDescent="0.3">
      <c r="K1791" s="7"/>
    </row>
    <row r="1792" spans="11:11" x14ac:dyDescent="0.3">
      <c r="K1792" s="7"/>
    </row>
    <row r="1793" spans="11:11" x14ac:dyDescent="0.3">
      <c r="K1793" s="7"/>
    </row>
    <row r="1794" spans="11:11" x14ac:dyDescent="0.3">
      <c r="K1794" s="7"/>
    </row>
    <row r="1795" spans="11:11" x14ac:dyDescent="0.3">
      <c r="K1795" s="7"/>
    </row>
    <row r="1796" spans="11:11" x14ac:dyDescent="0.3">
      <c r="K1796" s="7"/>
    </row>
    <row r="1797" spans="11:11" x14ac:dyDescent="0.3">
      <c r="K1797" s="7"/>
    </row>
    <row r="1798" spans="11:11" x14ac:dyDescent="0.3">
      <c r="K1798" s="7"/>
    </row>
    <row r="1799" spans="11:11" x14ac:dyDescent="0.3">
      <c r="K1799" s="7"/>
    </row>
    <row r="1800" spans="11:11" x14ac:dyDescent="0.3">
      <c r="K1800" s="7"/>
    </row>
    <row r="1801" spans="11:11" x14ac:dyDescent="0.3">
      <c r="K1801" s="7"/>
    </row>
    <row r="1802" spans="11:11" x14ac:dyDescent="0.3">
      <c r="K1802" s="7"/>
    </row>
    <row r="1803" spans="11:11" x14ac:dyDescent="0.3">
      <c r="K1803" s="7"/>
    </row>
    <row r="1804" spans="11:11" x14ac:dyDescent="0.3">
      <c r="K1804" s="7"/>
    </row>
    <row r="1805" spans="11:11" x14ac:dyDescent="0.3">
      <c r="K1805" s="7"/>
    </row>
    <row r="1806" spans="11:11" x14ac:dyDescent="0.3">
      <c r="K1806" s="7"/>
    </row>
    <row r="1807" spans="11:11" x14ac:dyDescent="0.3">
      <c r="K1807" s="7"/>
    </row>
    <row r="1808" spans="11:11" x14ac:dyDescent="0.3">
      <c r="K1808" s="7"/>
    </row>
    <row r="1809" spans="11:11" x14ac:dyDescent="0.3">
      <c r="K1809" s="7"/>
    </row>
    <row r="1810" spans="11:11" x14ac:dyDescent="0.3">
      <c r="K1810" s="7"/>
    </row>
    <row r="1811" spans="11:11" x14ac:dyDescent="0.3">
      <c r="K1811" s="7"/>
    </row>
    <row r="1812" spans="11:11" x14ac:dyDescent="0.3">
      <c r="K1812" s="7"/>
    </row>
    <row r="1813" spans="11:11" x14ac:dyDescent="0.3">
      <c r="K1813" s="7"/>
    </row>
    <row r="1814" spans="11:11" x14ac:dyDescent="0.3">
      <c r="K1814" s="7"/>
    </row>
    <row r="1815" spans="11:11" x14ac:dyDescent="0.3">
      <c r="K1815" s="7"/>
    </row>
    <row r="1816" spans="11:11" x14ac:dyDescent="0.3">
      <c r="K1816" s="7"/>
    </row>
    <row r="1817" spans="11:11" x14ac:dyDescent="0.3">
      <c r="K1817" s="7"/>
    </row>
    <row r="1818" spans="11:11" x14ac:dyDescent="0.3">
      <c r="K1818" s="7"/>
    </row>
    <row r="1819" spans="11:11" x14ac:dyDescent="0.3">
      <c r="K1819" s="7"/>
    </row>
    <row r="1820" spans="11:11" x14ac:dyDescent="0.3">
      <c r="K1820" s="7"/>
    </row>
    <row r="1821" spans="11:11" x14ac:dyDescent="0.3">
      <c r="K1821" s="7"/>
    </row>
    <row r="1822" spans="11:11" x14ac:dyDescent="0.3">
      <c r="K1822" s="7"/>
    </row>
    <row r="1823" spans="11:11" x14ac:dyDescent="0.3">
      <c r="K1823" s="7"/>
    </row>
    <row r="1824" spans="11:11" x14ac:dyDescent="0.3">
      <c r="K1824" s="7"/>
    </row>
    <row r="1825" spans="11:11" x14ac:dyDescent="0.3">
      <c r="K1825" s="7"/>
    </row>
    <row r="1826" spans="11:11" x14ac:dyDescent="0.3">
      <c r="K1826" s="7"/>
    </row>
    <row r="1827" spans="11:11" x14ac:dyDescent="0.3">
      <c r="K1827" s="7"/>
    </row>
    <row r="1828" spans="11:11" x14ac:dyDescent="0.3">
      <c r="K1828" s="7"/>
    </row>
    <row r="1829" spans="11:11" x14ac:dyDescent="0.3">
      <c r="K1829" s="7"/>
    </row>
    <row r="1830" spans="11:11" x14ac:dyDescent="0.3">
      <c r="K1830" s="7"/>
    </row>
    <row r="1831" spans="11:11" x14ac:dyDescent="0.3">
      <c r="K1831" s="7"/>
    </row>
    <row r="1832" spans="11:11" x14ac:dyDescent="0.3">
      <c r="K1832" s="7"/>
    </row>
    <row r="1833" spans="11:11" x14ac:dyDescent="0.3">
      <c r="K1833" s="7"/>
    </row>
    <row r="1834" spans="11:11" x14ac:dyDescent="0.3">
      <c r="K1834" s="7"/>
    </row>
    <row r="1835" spans="11:11" x14ac:dyDescent="0.3">
      <c r="K1835" s="7"/>
    </row>
    <row r="1836" spans="11:11" x14ac:dyDescent="0.3">
      <c r="K1836" s="7"/>
    </row>
    <row r="1837" spans="11:11" x14ac:dyDescent="0.3">
      <c r="K1837" s="7"/>
    </row>
    <row r="1838" spans="11:11" x14ac:dyDescent="0.3">
      <c r="K1838" s="7"/>
    </row>
    <row r="1839" spans="11:11" x14ac:dyDescent="0.3">
      <c r="K1839" s="7"/>
    </row>
    <row r="1840" spans="11:11" x14ac:dyDescent="0.3">
      <c r="K1840" s="7"/>
    </row>
    <row r="1841" spans="11:11" x14ac:dyDescent="0.3">
      <c r="K1841" s="7"/>
    </row>
    <row r="1842" spans="11:11" x14ac:dyDescent="0.3">
      <c r="K1842" s="7"/>
    </row>
    <row r="1843" spans="11:11" x14ac:dyDescent="0.3">
      <c r="K1843" s="7"/>
    </row>
    <row r="1844" spans="11:11" x14ac:dyDescent="0.3">
      <c r="K1844" s="7"/>
    </row>
    <row r="1845" spans="11:11" x14ac:dyDescent="0.3">
      <c r="K1845" s="7"/>
    </row>
    <row r="1846" spans="11:11" x14ac:dyDescent="0.3">
      <c r="K1846" s="7"/>
    </row>
    <row r="1847" spans="11:11" x14ac:dyDescent="0.3">
      <c r="K1847" s="7"/>
    </row>
    <row r="1848" spans="11:11" x14ac:dyDescent="0.3">
      <c r="K1848" s="7"/>
    </row>
    <row r="1849" spans="11:11" x14ac:dyDescent="0.3">
      <c r="K1849" s="7"/>
    </row>
    <row r="1850" spans="11:11" x14ac:dyDescent="0.3">
      <c r="K1850" s="7"/>
    </row>
    <row r="1851" spans="11:11" x14ac:dyDescent="0.3">
      <c r="K1851" s="7"/>
    </row>
    <row r="1852" spans="11:11" x14ac:dyDescent="0.3">
      <c r="K1852" s="7"/>
    </row>
    <row r="1853" spans="11:11" x14ac:dyDescent="0.3">
      <c r="K1853" s="7"/>
    </row>
    <row r="1854" spans="11:11" x14ac:dyDescent="0.3">
      <c r="K1854" s="7"/>
    </row>
    <row r="1855" spans="11:11" x14ac:dyDescent="0.3">
      <c r="K1855" s="7"/>
    </row>
    <row r="1856" spans="11:11" x14ac:dyDescent="0.3">
      <c r="K1856" s="7"/>
    </row>
    <row r="1857" spans="11:11" x14ac:dyDescent="0.3">
      <c r="K1857" s="7"/>
    </row>
    <row r="1858" spans="11:11" x14ac:dyDescent="0.3">
      <c r="K1858" s="7"/>
    </row>
    <row r="1859" spans="11:11" x14ac:dyDescent="0.3">
      <c r="K1859" s="7"/>
    </row>
    <row r="1860" spans="11:11" x14ac:dyDescent="0.3">
      <c r="K1860" s="7"/>
    </row>
    <row r="1861" spans="11:11" x14ac:dyDescent="0.3">
      <c r="K1861" s="7"/>
    </row>
    <row r="1862" spans="11:11" x14ac:dyDescent="0.3">
      <c r="K1862" s="7"/>
    </row>
    <row r="1863" spans="11:11" x14ac:dyDescent="0.3">
      <c r="K1863" s="7"/>
    </row>
    <row r="1864" spans="11:11" x14ac:dyDescent="0.3">
      <c r="K1864" s="7"/>
    </row>
    <row r="1865" spans="11:11" x14ac:dyDescent="0.3">
      <c r="K1865" s="7"/>
    </row>
    <row r="1866" spans="11:11" x14ac:dyDescent="0.3">
      <c r="K1866" s="7"/>
    </row>
    <row r="1867" spans="11:11" x14ac:dyDescent="0.3">
      <c r="K1867" s="7"/>
    </row>
    <row r="1868" spans="11:11" x14ac:dyDescent="0.3">
      <c r="K1868" s="7"/>
    </row>
    <row r="1869" spans="11:11" x14ac:dyDescent="0.3">
      <c r="K1869" s="7"/>
    </row>
    <row r="1870" spans="11:11" x14ac:dyDescent="0.3">
      <c r="K1870" s="7"/>
    </row>
    <row r="1871" spans="11:11" x14ac:dyDescent="0.3">
      <c r="K1871" s="7"/>
    </row>
    <row r="1872" spans="11:11" x14ac:dyDescent="0.3">
      <c r="K1872" s="7"/>
    </row>
    <row r="1873" spans="11:11" x14ac:dyDescent="0.3">
      <c r="K1873" s="7"/>
    </row>
    <row r="1874" spans="11:11" x14ac:dyDescent="0.3">
      <c r="K1874" s="7"/>
    </row>
    <row r="1875" spans="11:11" x14ac:dyDescent="0.3">
      <c r="K1875" s="7"/>
    </row>
    <row r="1876" spans="11:11" x14ac:dyDescent="0.3">
      <c r="K1876" s="7"/>
    </row>
    <row r="1877" spans="11:11" x14ac:dyDescent="0.3">
      <c r="K1877" s="7"/>
    </row>
    <row r="1878" spans="11:11" x14ac:dyDescent="0.3">
      <c r="K1878" s="7"/>
    </row>
    <row r="1879" spans="11:11" x14ac:dyDescent="0.3">
      <c r="K1879" s="7"/>
    </row>
    <row r="1880" spans="11:11" x14ac:dyDescent="0.3">
      <c r="K1880" s="7"/>
    </row>
    <row r="1881" spans="11:11" x14ac:dyDescent="0.3">
      <c r="K1881" s="7"/>
    </row>
    <row r="1882" spans="11:11" x14ac:dyDescent="0.3">
      <c r="K1882" s="7"/>
    </row>
    <row r="1883" spans="11:11" x14ac:dyDescent="0.3">
      <c r="K1883" s="7"/>
    </row>
    <row r="1884" spans="11:11" x14ac:dyDescent="0.3">
      <c r="K1884" s="7"/>
    </row>
    <row r="1885" spans="11:11" x14ac:dyDescent="0.3">
      <c r="K1885" s="7"/>
    </row>
    <row r="1886" spans="11:11" x14ac:dyDescent="0.3">
      <c r="K1886" s="7"/>
    </row>
    <row r="1887" spans="11:11" x14ac:dyDescent="0.3">
      <c r="K1887" s="7"/>
    </row>
    <row r="1888" spans="11:11" x14ac:dyDescent="0.3">
      <c r="K1888" s="7"/>
    </row>
    <row r="1889" spans="11:11" x14ac:dyDescent="0.3">
      <c r="K1889" s="7"/>
    </row>
    <row r="1890" spans="11:11" x14ac:dyDescent="0.3">
      <c r="K1890" s="7"/>
    </row>
    <row r="1891" spans="11:11" x14ac:dyDescent="0.3">
      <c r="K1891" s="7"/>
    </row>
    <row r="1892" spans="11:11" x14ac:dyDescent="0.3">
      <c r="K1892" s="7"/>
    </row>
    <row r="1893" spans="11:11" x14ac:dyDescent="0.3">
      <c r="K1893" s="7"/>
    </row>
    <row r="1894" spans="11:11" x14ac:dyDescent="0.3">
      <c r="K1894" s="7"/>
    </row>
    <row r="1895" spans="11:11" x14ac:dyDescent="0.3">
      <c r="K1895" s="7"/>
    </row>
    <row r="1896" spans="11:11" x14ac:dyDescent="0.3">
      <c r="K1896" s="7"/>
    </row>
    <row r="1897" spans="11:11" x14ac:dyDescent="0.3">
      <c r="K1897" s="7"/>
    </row>
    <row r="1898" spans="11:11" x14ac:dyDescent="0.3">
      <c r="K1898" s="7"/>
    </row>
    <row r="1899" spans="11:11" x14ac:dyDescent="0.3">
      <c r="K1899" s="7"/>
    </row>
    <row r="1900" spans="11:11" x14ac:dyDescent="0.3">
      <c r="K1900" s="7"/>
    </row>
    <row r="1901" spans="11:11" x14ac:dyDescent="0.3">
      <c r="K1901" s="7"/>
    </row>
    <row r="1902" spans="11:11" x14ac:dyDescent="0.3">
      <c r="K1902" s="7"/>
    </row>
    <row r="1903" spans="11:11" x14ac:dyDescent="0.3">
      <c r="K1903" s="7"/>
    </row>
    <row r="1904" spans="11:11" x14ac:dyDescent="0.3">
      <c r="K1904" s="7"/>
    </row>
    <row r="1905" spans="11:11" x14ac:dyDescent="0.3">
      <c r="K1905" s="7"/>
    </row>
    <row r="1906" spans="11:11" x14ac:dyDescent="0.3">
      <c r="K1906" s="7"/>
    </row>
    <row r="1907" spans="11:11" x14ac:dyDescent="0.3">
      <c r="K1907" s="7"/>
    </row>
    <row r="1908" spans="11:11" x14ac:dyDescent="0.3">
      <c r="K1908" s="7"/>
    </row>
    <row r="1909" spans="11:11" x14ac:dyDescent="0.3">
      <c r="K1909" s="7"/>
    </row>
    <row r="1910" spans="11:11" x14ac:dyDescent="0.3">
      <c r="K1910" s="7"/>
    </row>
    <row r="1911" spans="11:11" x14ac:dyDescent="0.3">
      <c r="K1911" s="7"/>
    </row>
    <row r="1912" spans="11:11" x14ac:dyDescent="0.3">
      <c r="K1912" s="7"/>
    </row>
    <row r="1913" spans="11:11" x14ac:dyDescent="0.3">
      <c r="K1913" s="7"/>
    </row>
    <row r="1914" spans="11:11" x14ac:dyDescent="0.3">
      <c r="K1914" s="7"/>
    </row>
    <row r="1915" spans="11:11" x14ac:dyDescent="0.3">
      <c r="K1915" s="7"/>
    </row>
    <row r="1916" spans="11:11" x14ac:dyDescent="0.3">
      <c r="K1916" s="7"/>
    </row>
    <row r="1917" spans="11:11" x14ac:dyDescent="0.3">
      <c r="K1917" s="7"/>
    </row>
    <row r="1918" spans="11:11" x14ac:dyDescent="0.3">
      <c r="K1918" s="7"/>
    </row>
    <row r="1919" spans="11:11" x14ac:dyDescent="0.3">
      <c r="K1919" s="7"/>
    </row>
    <row r="1920" spans="11:11" x14ac:dyDescent="0.3">
      <c r="K1920" s="7"/>
    </row>
    <row r="1921" spans="11:11" x14ac:dyDescent="0.3">
      <c r="K1921" s="7"/>
    </row>
    <row r="1922" spans="11:11" x14ac:dyDescent="0.3">
      <c r="K1922" s="7"/>
    </row>
    <row r="1923" spans="11:11" x14ac:dyDescent="0.3">
      <c r="K1923" s="7"/>
    </row>
    <row r="1924" spans="11:11" x14ac:dyDescent="0.3">
      <c r="K1924" s="7"/>
    </row>
    <row r="1925" spans="11:11" x14ac:dyDescent="0.3">
      <c r="K1925" s="7"/>
    </row>
    <row r="1926" spans="11:11" x14ac:dyDescent="0.3">
      <c r="K1926" s="7"/>
    </row>
    <row r="1927" spans="11:11" x14ac:dyDescent="0.3">
      <c r="K1927" s="7"/>
    </row>
    <row r="1928" spans="11:11" x14ac:dyDescent="0.3">
      <c r="K1928" s="7"/>
    </row>
    <row r="1929" spans="11:11" x14ac:dyDescent="0.3">
      <c r="K1929" s="7"/>
    </row>
    <row r="1930" spans="11:11" x14ac:dyDescent="0.3">
      <c r="K1930" s="7"/>
    </row>
    <row r="1931" spans="11:11" x14ac:dyDescent="0.3">
      <c r="K1931" s="7"/>
    </row>
    <row r="1932" spans="11:11" x14ac:dyDescent="0.3">
      <c r="K1932" s="7"/>
    </row>
    <row r="1933" spans="11:11" x14ac:dyDescent="0.3">
      <c r="K1933" s="7"/>
    </row>
    <row r="1934" spans="11:11" x14ac:dyDescent="0.3">
      <c r="K1934" s="7"/>
    </row>
    <row r="1935" spans="11:11" x14ac:dyDescent="0.3">
      <c r="K1935" s="7"/>
    </row>
    <row r="1936" spans="11:11" x14ac:dyDescent="0.3">
      <c r="K1936" s="7"/>
    </row>
    <row r="1937" spans="11:11" x14ac:dyDescent="0.3">
      <c r="K1937" s="7"/>
    </row>
    <row r="1938" spans="11:11" x14ac:dyDescent="0.3">
      <c r="K1938" s="7"/>
    </row>
    <row r="1939" spans="11:11" x14ac:dyDescent="0.3">
      <c r="K1939" s="7"/>
    </row>
    <row r="1940" spans="11:11" x14ac:dyDescent="0.3">
      <c r="K1940" s="7"/>
    </row>
    <row r="1941" spans="11:11" x14ac:dyDescent="0.3">
      <c r="K1941" s="7"/>
    </row>
    <row r="1942" spans="11:11" x14ac:dyDescent="0.3">
      <c r="K1942" s="7"/>
    </row>
    <row r="1943" spans="11:11" x14ac:dyDescent="0.3">
      <c r="K1943" s="7"/>
    </row>
    <row r="1944" spans="11:11" x14ac:dyDescent="0.3">
      <c r="K1944" s="7"/>
    </row>
    <row r="1945" spans="11:11" x14ac:dyDescent="0.3">
      <c r="K1945" s="7"/>
    </row>
    <row r="1946" spans="11:11" x14ac:dyDescent="0.3">
      <c r="K1946" s="7"/>
    </row>
    <row r="1947" spans="11:11" x14ac:dyDescent="0.3">
      <c r="K1947" s="7"/>
    </row>
    <row r="1948" spans="11:11" x14ac:dyDescent="0.3">
      <c r="K1948" s="7"/>
    </row>
    <row r="1949" spans="11:11" x14ac:dyDescent="0.3">
      <c r="K1949" s="7"/>
    </row>
    <row r="1950" spans="11:11" x14ac:dyDescent="0.3">
      <c r="K1950" s="7"/>
    </row>
    <row r="1951" spans="11:11" x14ac:dyDescent="0.3">
      <c r="K1951" s="7"/>
    </row>
    <row r="1952" spans="11:11" x14ac:dyDescent="0.3">
      <c r="K1952" s="7"/>
    </row>
    <row r="1953" spans="11:11" x14ac:dyDescent="0.3">
      <c r="K1953" s="7"/>
    </row>
    <row r="1954" spans="11:11" x14ac:dyDescent="0.3">
      <c r="K1954" s="7"/>
    </row>
    <row r="1955" spans="11:11" x14ac:dyDescent="0.3">
      <c r="K1955" s="7"/>
    </row>
    <row r="1956" spans="11:11" x14ac:dyDescent="0.3">
      <c r="K1956" s="7"/>
    </row>
    <row r="1957" spans="11:11" x14ac:dyDescent="0.3">
      <c r="K1957" s="7"/>
    </row>
    <row r="1958" spans="11:11" x14ac:dyDescent="0.3">
      <c r="K1958" s="7"/>
    </row>
    <row r="1959" spans="11:11" x14ac:dyDescent="0.3">
      <c r="K1959" s="7"/>
    </row>
    <row r="1960" spans="11:11" x14ac:dyDescent="0.3">
      <c r="K1960" s="7"/>
    </row>
    <row r="1961" spans="11:11" x14ac:dyDescent="0.3">
      <c r="K1961" s="7"/>
    </row>
    <row r="1962" spans="11:11" x14ac:dyDescent="0.3">
      <c r="K1962" s="7"/>
    </row>
    <row r="1963" spans="11:11" x14ac:dyDescent="0.3">
      <c r="K1963" s="7"/>
    </row>
    <row r="1964" spans="11:11" x14ac:dyDescent="0.3">
      <c r="K1964" s="7"/>
    </row>
    <row r="1965" spans="11:11" x14ac:dyDescent="0.3">
      <c r="K1965" s="7"/>
    </row>
    <row r="1966" spans="11:11" x14ac:dyDescent="0.3">
      <c r="K1966" s="7"/>
    </row>
    <row r="1967" spans="11:11" x14ac:dyDescent="0.3">
      <c r="K1967" s="7"/>
    </row>
    <row r="1968" spans="11:11" x14ac:dyDescent="0.3">
      <c r="K1968" s="7"/>
    </row>
    <row r="1969" spans="11:11" x14ac:dyDescent="0.3">
      <c r="K1969" s="7"/>
    </row>
    <row r="1970" spans="11:11" x14ac:dyDescent="0.3">
      <c r="K1970" s="7"/>
    </row>
    <row r="1971" spans="11:11" x14ac:dyDescent="0.3">
      <c r="K1971" s="7"/>
    </row>
    <row r="1972" spans="11:11" x14ac:dyDescent="0.3">
      <c r="K1972" s="7"/>
    </row>
    <row r="1973" spans="11:11" x14ac:dyDescent="0.3">
      <c r="K1973" s="7"/>
    </row>
    <row r="1974" spans="11:11" x14ac:dyDescent="0.3">
      <c r="K1974" s="7"/>
    </row>
    <row r="1975" spans="11:11" x14ac:dyDescent="0.3">
      <c r="K1975" s="7"/>
    </row>
    <row r="1976" spans="11:11" x14ac:dyDescent="0.3">
      <c r="K1976" s="7"/>
    </row>
    <row r="1977" spans="11:11" x14ac:dyDescent="0.3">
      <c r="K1977" s="7"/>
    </row>
    <row r="1978" spans="11:11" x14ac:dyDescent="0.3">
      <c r="K1978" s="7"/>
    </row>
    <row r="1979" spans="11:11" x14ac:dyDescent="0.3">
      <c r="K1979" s="7"/>
    </row>
    <row r="1980" spans="11:11" x14ac:dyDescent="0.3">
      <c r="K1980" s="7"/>
    </row>
    <row r="1981" spans="11:11" x14ac:dyDescent="0.3">
      <c r="K1981" s="7"/>
    </row>
    <row r="1982" spans="11:11" x14ac:dyDescent="0.3">
      <c r="K1982" s="7"/>
    </row>
    <row r="1983" spans="11:11" x14ac:dyDescent="0.3">
      <c r="K1983" s="7"/>
    </row>
    <row r="1984" spans="11:11" x14ac:dyDescent="0.3">
      <c r="K1984" s="7"/>
    </row>
    <row r="1985" spans="11:11" x14ac:dyDescent="0.3">
      <c r="K1985" s="7"/>
    </row>
    <row r="1986" spans="11:11" x14ac:dyDescent="0.3">
      <c r="K1986" s="7"/>
    </row>
    <row r="1987" spans="11:11" x14ac:dyDescent="0.3">
      <c r="K1987" s="7"/>
    </row>
    <row r="1988" spans="11:11" x14ac:dyDescent="0.3">
      <c r="K1988" s="7"/>
    </row>
    <row r="1989" spans="11:11" x14ac:dyDescent="0.3">
      <c r="K1989" s="7"/>
    </row>
    <row r="1990" spans="11:11" x14ac:dyDescent="0.3">
      <c r="K1990" s="7"/>
    </row>
    <row r="1991" spans="11:11" x14ac:dyDescent="0.3">
      <c r="K1991" s="7"/>
    </row>
    <row r="1992" spans="11:11" x14ac:dyDescent="0.3">
      <c r="K1992" s="7"/>
    </row>
    <row r="1993" spans="11:11" x14ac:dyDescent="0.3">
      <c r="K1993" s="7"/>
    </row>
    <row r="1994" spans="11:11" x14ac:dyDescent="0.3">
      <c r="K1994" s="7"/>
    </row>
    <row r="1995" spans="11:11" x14ac:dyDescent="0.3">
      <c r="K1995" s="7"/>
    </row>
    <row r="1996" spans="11:11" x14ac:dyDescent="0.3">
      <c r="K1996" s="7"/>
    </row>
    <row r="1997" spans="11:11" x14ac:dyDescent="0.3">
      <c r="K1997" s="7"/>
    </row>
    <row r="1998" spans="11:11" x14ac:dyDescent="0.3">
      <c r="K1998" s="7"/>
    </row>
    <row r="1999" spans="11:11" x14ac:dyDescent="0.3">
      <c r="K1999" s="7"/>
    </row>
    <row r="2000" spans="11:11" x14ac:dyDescent="0.3">
      <c r="K2000" s="7"/>
    </row>
    <row r="2001" spans="11:11" x14ac:dyDescent="0.3">
      <c r="K2001" s="7"/>
    </row>
    <row r="2002" spans="11:11" x14ac:dyDescent="0.3">
      <c r="K2002" s="7"/>
    </row>
    <row r="2003" spans="11:11" x14ac:dyDescent="0.3">
      <c r="K2003" s="7"/>
    </row>
    <row r="2004" spans="11:11" x14ac:dyDescent="0.3">
      <c r="K2004" s="7"/>
    </row>
    <row r="2005" spans="11:11" x14ac:dyDescent="0.3">
      <c r="K2005" s="7"/>
    </row>
    <row r="2006" spans="11:11" x14ac:dyDescent="0.3">
      <c r="K2006" s="7"/>
    </row>
    <row r="2007" spans="11:11" x14ac:dyDescent="0.3">
      <c r="K2007" s="7"/>
    </row>
    <row r="2008" spans="11:11" x14ac:dyDescent="0.3">
      <c r="K2008" s="7"/>
    </row>
    <row r="2009" spans="11:11" x14ac:dyDescent="0.3">
      <c r="K2009" s="7"/>
    </row>
    <row r="2010" spans="11:11" x14ac:dyDescent="0.3">
      <c r="K2010" s="7"/>
    </row>
    <row r="2011" spans="11:11" x14ac:dyDescent="0.3">
      <c r="K2011" s="7"/>
    </row>
    <row r="2012" spans="11:11" x14ac:dyDescent="0.3">
      <c r="K2012" s="7"/>
    </row>
    <row r="2013" spans="11:11" x14ac:dyDescent="0.3">
      <c r="K2013" s="7"/>
    </row>
    <row r="2014" spans="11:11" x14ac:dyDescent="0.3">
      <c r="K2014" s="7"/>
    </row>
    <row r="2015" spans="11:11" x14ac:dyDescent="0.3">
      <c r="K2015" s="7"/>
    </row>
    <row r="2016" spans="11:11" x14ac:dyDescent="0.3">
      <c r="K2016" s="7"/>
    </row>
    <row r="2017" spans="11:11" x14ac:dyDescent="0.3">
      <c r="K2017" s="7"/>
    </row>
    <row r="2018" spans="11:11" x14ac:dyDescent="0.3">
      <c r="K2018" s="7"/>
    </row>
    <row r="2019" spans="11:11" x14ac:dyDescent="0.3">
      <c r="K2019" s="7"/>
    </row>
    <row r="2020" spans="11:11" x14ac:dyDescent="0.3">
      <c r="K2020" s="7"/>
    </row>
    <row r="2021" spans="11:11" x14ac:dyDescent="0.3">
      <c r="K2021" s="7"/>
    </row>
    <row r="2022" spans="11:11" x14ac:dyDescent="0.3">
      <c r="K2022" s="7"/>
    </row>
    <row r="2023" spans="11:11" x14ac:dyDescent="0.3">
      <c r="K2023" s="7"/>
    </row>
    <row r="2024" spans="11:11" x14ac:dyDescent="0.3">
      <c r="K2024" s="7"/>
    </row>
    <row r="2025" spans="11:11" x14ac:dyDescent="0.3">
      <c r="K2025" s="7"/>
    </row>
    <row r="2026" spans="11:11" x14ac:dyDescent="0.3">
      <c r="K2026" s="7"/>
    </row>
    <row r="2027" spans="11:11" x14ac:dyDescent="0.3">
      <c r="K2027" s="7"/>
    </row>
    <row r="2028" spans="11:11" x14ac:dyDescent="0.3">
      <c r="K2028" s="7"/>
    </row>
    <row r="2029" spans="11:11" x14ac:dyDescent="0.3">
      <c r="K2029" s="7"/>
    </row>
    <row r="2030" spans="11:11" x14ac:dyDescent="0.3">
      <c r="K2030" s="7"/>
    </row>
    <row r="2031" spans="11:11" x14ac:dyDescent="0.3">
      <c r="K2031" s="7"/>
    </row>
    <row r="2032" spans="11:11" x14ac:dyDescent="0.3">
      <c r="K2032" s="7"/>
    </row>
    <row r="2033" spans="11:11" x14ac:dyDescent="0.3">
      <c r="K2033" s="7"/>
    </row>
    <row r="2034" spans="11:11" x14ac:dyDescent="0.3">
      <c r="K2034" s="7"/>
    </row>
    <row r="2035" spans="11:11" x14ac:dyDescent="0.3">
      <c r="K2035" s="7"/>
    </row>
    <row r="2036" spans="11:11" x14ac:dyDescent="0.3">
      <c r="K2036" s="7"/>
    </row>
    <row r="2037" spans="11:11" x14ac:dyDescent="0.3">
      <c r="K2037" s="7"/>
    </row>
    <row r="2038" spans="11:11" x14ac:dyDescent="0.3">
      <c r="K2038" s="7"/>
    </row>
    <row r="2039" spans="11:11" x14ac:dyDescent="0.3">
      <c r="K2039" s="7"/>
    </row>
    <row r="2040" spans="11:11" x14ac:dyDescent="0.3">
      <c r="K2040" s="7"/>
    </row>
    <row r="2041" spans="11:11" x14ac:dyDescent="0.3">
      <c r="K2041" s="7"/>
    </row>
    <row r="2042" spans="11:11" x14ac:dyDescent="0.3">
      <c r="K2042" s="7"/>
    </row>
    <row r="2043" spans="11:11" x14ac:dyDescent="0.3">
      <c r="K2043" s="7"/>
    </row>
    <row r="2044" spans="11:11" x14ac:dyDescent="0.3">
      <c r="K2044" s="7"/>
    </row>
    <row r="2045" spans="11:11" x14ac:dyDescent="0.3">
      <c r="K2045" s="7"/>
    </row>
    <row r="2046" spans="11:11" x14ac:dyDescent="0.3">
      <c r="K2046" s="7"/>
    </row>
    <row r="2047" spans="11:11" x14ac:dyDescent="0.3">
      <c r="K2047" s="7"/>
    </row>
    <row r="2048" spans="11:11" x14ac:dyDescent="0.3">
      <c r="K2048" s="7"/>
    </row>
    <row r="2049" spans="11:11" x14ac:dyDescent="0.3">
      <c r="K2049" s="7"/>
    </row>
    <row r="2050" spans="11:11" x14ac:dyDescent="0.3">
      <c r="K2050" s="7"/>
    </row>
    <row r="2051" spans="11:11" x14ac:dyDescent="0.3">
      <c r="K2051" s="7"/>
    </row>
    <row r="2052" spans="11:11" x14ac:dyDescent="0.3">
      <c r="K2052" s="7"/>
    </row>
    <row r="2053" spans="11:11" x14ac:dyDescent="0.3">
      <c r="K2053" s="7"/>
    </row>
    <row r="2054" spans="11:11" x14ac:dyDescent="0.3">
      <c r="K2054" s="7"/>
    </row>
    <row r="2055" spans="11:11" x14ac:dyDescent="0.3">
      <c r="K2055" s="7"/>
    </row>
    <row r="2056" spans="11:11" x14ac:dyDescent="0.3">
      <c r="K2056" s="7"/>
    </row>
    <row r="2057" spans="11:11" x14ac:dyDescent="0.3">
      <c r="K2057" s="7"/>
    </row>
    <row r="2058" spans="11:11" x14ac:dyDescent="0.3">
      <c r="K2058" s="7"/>
    </row>
    <row r="2059" spans="11:11" x14ac:dyDescent="0.3">
      <c r="K2059" s="7"/>
    </row>
    <row r="2060" spans="11:11" x14ac:dyDescent="0.3">
      <c r="K2060" s="7"/>
    </row>
    <row r="2061" spans="11:11" x14ac:dyDescent="0.3">
      <c r="K2061" s="7"/>
    </row>
    <row r="2062" spans="11:11" x14ac:dyDescent="0.3">
      <c r="K2062" s="7"/>
    </row>
    <row r="2063" spans="11:11" x14ac:dyDescent="0.3">
      <c r="K2063" s="7"/>
    </row>
    <row r="2064" spans="11:11" x14ac:dyDescent="0.3">
      <c r="K2064" s="7"/>
    </row>
    <row r="2065" spans="11:11" x14ac:dyDescent="0.3">
      <c r="K2065" s="7"/>
    </row>
    <row r="2066" spans="11:11" x14ac:dyDescent="0.3">
      <c r="K2066" s="7"/>
    </row>
    <row r="2067" spans="11:11" x14ac:dyDescent="0.3">
      <c r="K2067" s="7"/>
    </row>
    <row r="2068" spans="11:11" x14ac:dyDescent="0.3">
      <c r="K2068" s="7"/>
    </row>
    <row r="2069" spans="11:11" x14ac:dyDescent="0.3">
      <c r="K2069" s="7"/>
    </row>
    <row r="2070" spans="11:11" x14ac:dyDescent="0.3">
      <c r="K2070" s="7"/>
    </row>
    <row r="2071" spans="11:11" x14ac:dyDescent="0.3">
      <c r="K2071" s="7"/>
    </row>
    <row r="2072" spans="11:11" x14ac:dyDescent="0.3">
      <c r="K2072" s="7"/>
    </row>
    <row r="2073" spans="11:11" x14ac:dyDescent="0.3">
      <c r="K2073" s="7"/>
    </row>
    <row r="2074" spans="11:11" x14ac:dyDescent="0.3">
      <c r="K2074" s="7"/>
    </row>
    <row r="2075" spans="11:11" x14ac:dyDescent="0.3">
      <c r="K2075" s="7"/>
    </row>
    <row r="2076" spans="11:11" x14ac:dyDescent="0.3">
      <c r="K2076" s="7"/>
    </row>
    <row r="2077" spans="11:11" x14ac:dyDescent="0.3">
      <c r="K2077" s="7"/>
    </row>
    <row r="2078" spans="11:11" x14ac:dyDescent="0.3">
      <c r="K2078" s="7"/>
    </row>
    <row r="2079" spans="11:11" x14ac:dyDescent="0.3">
      <c r="K2079" s="7"/>
    </row>
    <row r="2080" spans="11:11" x14ac:dyDescent="0.3">
      <c r="K2080" s="7"/>
    </row>
    <row r="2081" spans="11:11" x14ac:dyDescent="0.3">
      <c r="K2081" s="7"/>
    </row>
    <row r="2082" spans="11:11" x14ac:dyDescent="0.3">
      <c r="K2082" s="7"/>
    </row>
    <row r="2083" spans="11:11" x14ac:dyDescent="0.3">
      <c r="K2083" s="7"/>
    </row>
    <row r="2084" spans="11:11" x14ac:dyDescent="0.3">
      <c r="K2084" s="7"/>
    </row>
    <row r="2085" spans="11:11" x14ac:dyDescent="0.3">
      <c r="K2085" s="7"/>
    </row>
    <row r="2086" spans="11:11" x14ac:dyDescent="0.3">
      <c r="K2086" s="7"/>
    </row>
    <row r="2087" spans="11:11" x14ac:dyDescent="0.3">
      <c r="K2087" s="7"/>
    </row>
    <row r="2088" spans="11:11" x14ac:dyDescent="0.3">
      <c r="K2088" s="7"/>
    </row>
    <row r="2089" spans="11:11" x14ac:dyDescent="0.3">
      <c r="K2089" s="7"/>
    </row>
    <row r="2090" spans="11:11" x14ac:dyDescent="0.3">
      <c r="K2090" s="7"/>
    </row>
    <row r="2091" spans="11:11" x14ac:dyDescent="0.3">
      <c r="K2091" s="7"/>
    </row>
    <row r="2092" spans="11:11" x14ac:dyDescent="0.3">
      <c r="K2092" s="7"/>
    </row>
    <row r="2093" spans="11:11" x14ac:dyDescent="0.3">
      <c r="K2093" s="7"/>
    </row>
    <row r="2094" spans="11:11" x14ac:dyDescent="0.3">
      <c r="K2094" s="7"/>
    </row>
    <row r="2095" spans="11:11" x14ac:dyDescent="0.3">
      <c r="K2095" s="7"/>
    </row>
    <row r="2096" spans="11:11" x14ac:dyDescent="0.3">
      <c r="K2096" s="7"/>
    </row>
    <row r="2097" spans="11:11" x14ac:dyDescent="0.3">
      <c r="K2097" s="7"/>
    </row>
    <row r="2098" spans="11:11" x14ac:dyDescent="0.3">
      <c r="K2098" s="7"/>
    </row>
    <row r="2099" spans="11:11" x14ac:dyDescent="0.3">
      <c r="K2099" s="7"/>
    </row>
    <row r="2100" spans="11:11" x14ac:dyDescent="0.3">
      <c r="K2100" s="7"/>
    </row>
    <row r="2101" spans="11:11" x14ac:dyDescent="0.3">
      <c r="K2101" s="7"/>
    </row>
    <row r="2102" spans="11:11" x14ac:dyDescent="0.3">
      <c r="K2102" s="7"/>
    </row>
    <row r="2103" spans="11:11" x14ac:dyDescent="0.3">
      <c r="K2103" s="7"/>
    </row>
    <row r="2104" spans="11:11" x14ac:dyDescent="0.3">
      <c r="K2104" s="7"/>
    </row>
    <row r="2105" spans="11:11" x14ac:dyDescent="0.3">
      <c r="K2105" s="7"/>
    </row>
    <row r="2106" spans="11:11" x14ac:dyDescent="0.3">
      <c r="K2106" s="7"/>
    </row>
    <row r="2107" spans="11:11" x14ac:dyDescent="0.3">
      <c r="K2107" s="7"/>
    </row>
    <row r="2108" spans="11:11" x14ac:dyDescent="0.3">
      <c r="K2108" s="7"/>
    </row>
    <row r="2109" spans="11:11" x14ac:dyDescent="0.3">
      <c r="K2109" s="7"/>
    </row>
    <row r="2110" spans="11:11" x14ac:dyDescent="0.3">
      <c r="K2110" s="7"/>
    </row>
    <row r="2111" spans="11:11" x14ac:dyDescent="0.3">
      <c r="K2111" s="7"/>
    </row>
    <row r="2112" spans="11:11" x14ac:dyDescent="0.3">
      <c r="K2112" s="7"/>
    </row>
    <row r="2113" spans="11:11" x14ac:dyDescent="0.3">
      <c r="K2113" s="7"/>
    </row>
    <row r="2114" spans="11:11" x14ac:dyDescent="0.3">
      <c r="K2114" s="7"/>
    </row>
    <row r="2115" spans="11:11" x14ac:dyDescent="0.3">
      <c r="K2115" s="7"/>
    </row>
    <row r="2116" spans="11:11" x14ac:dyDescent="0.3">
      <c r="K2116" s="7"/>
    </row>
    <row r="2117" spans="11:11" x14ac:dyDescent="0.3">
      <c r="K2117" s="7"/>
    </row>
    <row r="2118" spans="11:11" x14ac:dyDescent="0.3">
      <c r="K2118" s="7"/>
    </row>
    <row r="2119" spans="11:11" x14ac:dyDescent="0.3">
      <c r="K2119" s="7"/>
    </row>
    <row r="2120" spans="11:11" x14ac:dyDescent="0.3">
      <c r="K2120" s="7"/>
    </row>
    <row r="2121" spans="11:11" x14ac:dyDescent="0.3">
      <c r="K2121" s="7"/>
    </row>
    <row r="2122" spans="11:11" x14ac:dyDescent="0.3">
      <c r="K2122" s="7"/>
    </row>
    <row r="2123" spans="11:11" x14ac:dyDescent="0.3">
      <c r="K2123" s="7"/>
    </row>
    <row r="2124" spans="11:11" x14ac:dyDescent="0.3">
      <c r="K2124" s="7"/>
    </row>
    <row r="2125" spans="11:11" x14ac:dyDescent="0.3">
      <c r="K2125" s="7"/>
    </row>
    <row r="2126" spans="11:11" x14ac:dyDescent="0.3">
      <c r="K2126" s="7"/>
    </row>
    <row r="2127" spans="11:11" x14ac:dyDescent="0.3">
      <c r="K2127" s="7"/>
    </row>
    <row r="2128" spans="11:11" x14ac:dyDescent="0.3">
      <c r="K2128" s="7"/>
    </row>
    <row r="2129" spans="11:11" x14ac:dyDescent="0.3">
      <c r="K2129" s="7"/>
    </row>
    <row r="2130" spans="11:11" x14ac:dyDescent="0.3">
      <c r="K2130" s="7"/>
    </row>
    <row r="2131" spans="11:11" x14ac:dyDescent="0.3">
      <c r="K2131" s="7"/>
    </row>
    <row r="2132" spans="11:11" x14ac:dyDescent="0.3">
      <c r="K2132" s="7"/>
    </row>
    <row r="2133" spans="11:11" x14ac:dyDescent="0.3">
      <c r="K2133" s="7"/>
    </row>
    <row r="2134" spans="11:11" x14ac:dyDescent="0.3">
      <c r="K2134" s="7"/>
    </row>
    <row r="2135" spans="11:11" x14ac:dyDescent="0.3">
      <c r="K2135" s="7"/>
    </row>
    <row r="2136" spans="11:11" x14ac:dyDescent="0.3">
      <c r="K2136" s="7"/>
    </row>
    <row r="2137" spans="11:11" x14ac:dyDescent="0.3">
      <c r="K2137" s="7"/>
    </row>
    <row r="2138" spans="11:11" x14ac:dyDescent="0.3">
      <c r="K2138" s="7"/>
    </row>
    <row r="2139" spans="11:11" x14ac:dyDescent="0.3">
      <c r="K2139" s="7"/>
    </row>
    <row r="2140" spans="11:11" x14ac:dyDescent="0.3">
      <c r="K2140" s="7"/>
    </row>
    <row r="2141" spans="11:11" x14ac:dyDescent="0.3">
      <c r="K2141" s="7"/>
    </row>
    <row r="2142" spans="11:11" x14ac:dyDescent="0.3">
      <c r="K2142" s="7"/>
    </row>
    <row r="2143" spans="11:11" x14ac:dyDescent="0.3">
      <c r="K2143" s="7"/>
    </row>
    <row r="2144" spans="11:11" x14ac:dyDescent="0.3">
      <c r="K2144" s="7"/>
    </row>
    <row r="2145" spans="11:11" x14ac:dyDescent="0.3">
      <c r="K2145" s="7"/>
    </row>
    <row r="2146" spans="11:11" x14ac:dyDescent="0.3">
      <c r="K2146" s="7"/>
    </row>
    <row r="2147" spans="11:11" x14ac:dyDescent="0.3">
      <c r="K2147" s="7"/>
    </row>
    <row r="2148" spans="11:11" x14ac:dyDescent="0.3">
      <c r="K2148" s="7"/>
    </row>
    <row r="2149" spans="11:11" x14ac:dyDescent="0.3">
      <c r="K2149" s="7"/>
    </row>
    <row r="2150" spans="11:11" x14ac:dyDescent="0.3">
      <c r="K2150" s="7"/>
    </row>
    <row r="2151" spans="11:11" x14ac:dyDescent="0.3">
      <c r="K2151" s="7"/>
    </row>
    <row r="2152" spans="11:11" x14ac:dyDescent="0.3">
      <c r="K2152" s="7"/>
    </row>
    <row r="2153" spans="11:11" x14ac:dyDescent="0.3">
      <c r="K2153" s="7"/>
    </row>
    <row r="2154" spans="11:11" x14ac:dyDescent="0.3">
      <c r="K2154" s="7"/>
    </row>
    <row r="2155" spans="11:11" x14ac:dyDescent="0.3">
      <c r="K2155" s="7"/>
    </row>
    <row r="2156" spans="11:11" x14ac:dyDescent="0.3">
      <c r="K2156" s="7"/>
    </row>
    <row r="2157" spans="11:11" x14ac:dyDescent="0.3">
      <c r="K2157" s="7"/>
    </row>
    <row r="2158" spans="11:11" x14ac:dyDescent="0.3">
      <c r="K2158" s="7"/>
    </row>
    <row r="2159" spans="11:11" x14ac:dyDescent="0.3">
      <c r="K2159" s="7"/>
    </row>
    <row r="2160" spans="11:11" x14ac:dyDescent="0.3">
      <c r="K2160" s="7"/>
    </row>
    <row r="2161" spans="11:11" x14ac:dyDescent="0.3">
      <c r="K2161" s="7"/>
    </row>
    <row r="2162" spans="11:11" x14ac:dyDescent="0.3">
      <c r="K2162" s="7"/>
    </row>
    <row r="2163" spans="11:11" x14ac:dyDescent="0.3">
      <c r="K2163" s="7"/>
    </row>
    <row r="2164" spans="11:11" x14ac:dyDescent="0.3">
      <c r="K2164" s="7"/>
    </row>
    <row r="2165" spans="11:11" x14ac:dyDescent="0.3">
      <c r="K2165" s="7"/>
    </row>
    <row r="2166" spans="11:11" x14ac:dyDescent="0.3">
      <c r="K2166" s="7"/>
    </row>
    <row r="2167" spans="11:11" x14ac:dyDescent="0.3">
      <c r="K2167" s="7"/>
    </row>
    <row r="2168" spans="11:11" x14ac:dyDescent="0.3">
      <c r="K2168" s="7"/>
    </row>
    <row r="2169" spans="11:11" x14ac:dyDescent="0.3">
      <c r="K2169" s="7"/>
    </row>
    <row r="2170" spans="11:11" x14ac:dyDescent="0.3">
      <c r="K2170" s="7"/>
    </row>
    <row r="2171" spans="11:11" x14ac:dyDescent="0.3">
      <c r="K2171" s="7"/>
    </row>
    <row r="2172" spans="11:11" x14ac:dyDescent="0.3">
      <c r="K2172" s="7"/>
    </row>
    <row r="2173" spans="11:11" x14ac:dyDescent="0.3">
      <c r="K2173" s="7"/>
    </row>
    <row r="2174" spans="11:11" x14ac:dyDescent="0.3">
      <c r="K2174" s="7"/>
    </row>
    <row r="2175" spans="11:11" x14ac:dyDescent="0.3">
      <c r="K2175" s="7"/>
    </row>
    <row r="2176" spans="11:11" x14ac:dyDescent="0.3">
      <c r="K2176" s="7"/>
    </row>
    <row r="2177" spans="11:11" x14ac:dyDescent="0.3">
      <c r="K2177" s="7"/>
    </row>
    <row r="2178" spans="11:11" x14ac:dyDescent="0.3">
      <c r="K2178" s="7"/>
    </row>
    <row r="2179" spans="11:11" x14ac:dyDescent="0.3">
      <c r="K2179" s="7"/>
    </row>
    <row r="2180" spans="11:11" x14ac:dyDescent="0.3">
      <c r="K2180" s="7"/>
    </row>
    <row r="2181" spans="11:11" x14ac:dyDescent="0.3">
      <c r="K2181" s="7"/>
    </row>
    <row r="2182" spans="11:11" x14ac:dyDescent="0.3">
      <c r="K2182" s="7"/>
    </row>
    <row r="2183" spans="11:11" x14ac:dyDescent="0.3">
      <c r="K2183" s="7"/>
    </row>
    <row r="2184" spans="11:11" x14ac:dyDescent="0.3">
      <c r="K2184" s="7"/>
    </row>
    <row r="2185" spans="11:11" x14ac:dyDescent="0.3">
      <c r="K2185" s="7"/>
    </row>
    <row r="2186" spans="11:11" x14ac:dyDescent="0.3">
      <c r="K2186" s="7"/>
    </row>
    <row r="2187" spans="11:11" x14ac:dyDescent="0.3">
      <c r="K2187" s="7"/>
    </row>
    <row r="2188" spans="11:11" x14ac:dyDescent="0.3">
      <c r="K2188" s="7"/>
    </row>
    <row r="2189" spans="11:11" x14ac:dyDescent="0.3">
      <c r="K2189" s="7"/>
    </row>
    <row r="2190" spans="11:11" x14ac:dyDescent="0.3">
      <c r="K2190" s="7"/>
    </row>
    <row r="2191" spans="11:11" x14ac:dyDescent="0.3">
      <c r="K2191" s="7"/>
    </row>
    <row r="2192" spans="11:11" x14ac:dyDescent="0.3">
      <c r="K2192" s="7"/>
    </row>
    <row r="2193" spans="11:11" x14ac:dyDescent="0.3">
      <c r="K2193" s="7"/>
    </row>
    <row r="2194" spans="11:11" x14ac:dyDescent="0.3">
      <c r="K2194" s="7"/>
    </row>
    <row r="2195" spans="11:11" x14ac:dyDescent="0.3">
      <c r="K2195" s="7"/>
    </row>
    <row r="2196" spans="11:11" x14ac:dyDescent="0.3">
      <c r="K2196" s="7"/>
    </row>
    <row r="2197" spans="11:11" x14ac:dyDescent="0.3">
      <c r="K2197" s="7"/>
    </row>
    <row r="2198" spans="11:11" x14ac:dyDescent="0.3">
      <c r="K2198" s="7"/>
    </row>
    <row r="2199" spans="11:11" x14ac:dyDescent="0.3">
      <c r="K2199" s="7"/>
    </row>
    <row r="2200" spans="11:11" x14ac:dyDescent="0.3">
      <c r="K2200" s="7"/>
    </row>
    <row r="2201" spans="11:11" x14ac:dyDescent="0.3">
      <c r="K2201" s="7"/>
    </row>
    <row r="2202" spans="11:11" x14ac:dyDescent="0.3">
      <c r="K2202" s="7"/>
    </row>
    <row r="2203" spans="11:11" x14ac:dyDescent="0.3">
      <c r="K2203" s="7"/>
    </row>
    <row r="2204" spans="11:11" x14ac:dyDescent="0.3">
      <c r="K2204" s="7"/>
    </row>
    <row r="2205" spans="11:11" x14ac:dyDescent="0.3">
      <c r="K2205" s="7"/>
    </row>
    <row r="2206" spans="11:11" x14ac:dyDescent="0.3">
      <c r="K2206" s="7"/>
    </row>
    <row r="2207" spans="11:11" x14ac:dyDescent="0.3">
      <c r="K2207" s="7"/>
    </row>
    <row r="2208" spans="11:11" x14ac:dyDescent="0.3">
      <c r="K2208" s="7"/>
    </row>
    <row r="2209" spans="11:11" x14ac:dyDescent="0.3">
      <c r="K2209" s="7"/>
    </row>
    <row r="2210" spans="11:11" x14ac:dyDescent="0.3">
      <c r="K2210" s="7"/>
    </row>
    <row r="2211" spans="11:11" x14ac:dyDescent="0.3">
      <c r="K2211" s="7"/>
    </row>
    <row r="2212" spans="11:11" x14ac:dyDescent="0.3">
      <c r="K2212" s="7"/>
    </row>
    <row r="2213" spans="11:11" x14ac:dyDescent="0.3">
      <c r="K2213" s="7"/>
    </row>
    <row r="2214" spans="11:11" x14ac:dyDescent="0.3">
      <c r="K2214" s="7"/>
    </row>
    <row r="2215" spans="11:11" x14ac:dyDescent="0.3">
      <c r="K2215" s="7"/>
    </row>
    <row r="2216" spans="11:11" x14ac:dyDescent="0.3">
      <c r="K2216" s="7"/>
    </row>
    <row r="2217" spans="11:11" x14ac:dyDescent="0.3">
      <c r="K2217" s="7"/>
    </row>
    <row r="2218" spans="11:11" x14ac:dyDescent="0.3">
      <c r="K2218" s="7"/>
    </row>
    <row r="2219" spans="11:11" x14ac:dyDescent="0.3">
      <c r="K2219" s="7"/>
    </row>
    <row r="2220" spans="11:11" x14ac:dyDescent="0.3">
      <c r="K2220" s="7"/>
    </row>
    <row r="2221" spans="11:11" x14ac:dyDescent="0.3">
      <c r="K2221" s="7"/>
    </row>
    <row r="2222" spans="11:11" x14ac:dyDescent="0.3">
      <c r="K2222" s="7"/>
    </row>
    <row r="2223" spans="11:11" x14ac:dyDescent="0.3">
      <c r="K2223" s="7"/>
    </row>
    <row r="2224" spans="11:11" x14ac:dyDescent="0.3">
      <c r="K2224" s="7"/>
    </row>
    <row r="2225" spans="11:11" x14ac:dyDescent="0.3">
      <c r="K2225" s="7"/>
    </row>
    <row r="2226" spans="11:11" x14ac:dyDescent="0.3">
      <c r="K2226" s="7"/>
    </row>
    <row r="2227" spans="11:11" x14ac:dyDescent="0.3">
      <c r="K2227" s="7"/>
    </row>
    <row r="2228" spans="11:11" x14ac:dyDescent="0.3">
      <c r="K2228" s="7"/>
    </row>
    <row r="2229" spans="11:11" x14ac:dyDescent="0.3">
      <c r="K2229" s="7"/>
    </row>
    <row r="2230" spans="11:11" x14ac:dyDescent="0.3">
      <c r="K2230" s="7"/>
    </row>
    <row r="2231" spans="11:11" x14ac:dyDescent="0.3">
      <c r="K2231" s="7"/>
    </row>
    <row r="2232" spans="11:11" x14ac:dyDescent="0.3">
      <c r="K2232" s="7"/>
    </row>
    <row r="2233" spans="11:11" x14ac:dyDescent="0.3">
      <c r="K2233" s="7"/>
    </row>
    <row r="2234" spans="11:11" x14ac:dyDescent="0.3">
      <c r="K2234" s="7"/>
    </row>
    <row r="2235" spans="11:11" x14ac:dyDescent="0.3">
      <c r="K2235" s="7"/>
    </row>
    <row r="2236" spans="11:11" x14ac:dyDescent="0.3">
      <c r="K2236" s="7"/>
    </row>
    <row r="2237" spans="11:11" x14ac:dyDescent="0.3">
      <c r="K2237" s="7"/>
    </row>
    <row r="2238" spans="11:11" x14ac:dyDescent="0.3">
      <c r="K2238" s="7"/>
    </row>
    <row r="2239" spans="11:11" x14ac:dyDescent="0.3">
      <c r="K2239" s="7"/>
    </row>
    <row r="2240" spans="11:11" x14ac:dyDescent="0.3">
      <c r="K2240" s="7"/>
    </row>
    <row r="2241" spans="11:11" x14ac:dyDescent="0.3">
      <c r="K2241" s="7"/>
    </row>
    <row r="2242" spans="11:11" x14ac:dyDescent="0.3">
      <c r="K2242" s="7"/>
    </row>
    <row r="2243" spans="11:11" x14ac:dyDescent="0.3">
      <c r="K2243" s="7"/>
    </row>
    <row r="2244" spans="11:11" x14ac:dyDescent="0.3">
      <c r="K2244" s="7"/>
    </row>
    <row r="2245" spans="11:11" x14ac:dyDescent="0.3">
      <c r="K2245" s="7"/>
    </row>
    <row r="2246" spans="11:11" x14ac:dyDescent="0.3">
      <c r="K2246" s="7"/>
    </row>
    <row r="2247" spans="11:11" x14ac:dyDescent="0.3">
      <c r="K2247" s="7"/>
    </row>
    <row r="2248" spans="11:11" x14ac:dyDescent="0.3">
      <c r="K2248" s="7"/>
    </row>
    <row r="2249" spans="11:11" x14ac:dyDescent="0.3">
      <c r="K2249" s="7"/>
    </row>
    <row r="2250" spans="11:11" x14ac:dyDescent="0.3">
      <c r="K2250" s="7"/>
    </row>
    <row r="2251" spans="11:11" x14ac:dyDescent="0.3">
      <c r="K2251" s="7"/>
    </row>
    <row r="2252" spans="11:11" x14ac:dyDescent="0.3">
      <c r="K2252" s="7"/>
    </row>
    <row r="2253" spans="11:11" x14ac:dyDescent="0.3">
      <c r="K2253" s="7"/>
    </row>
    <row r="2254" spans="11:11" x14ac:dyDescent="0.3">
      <c r="K2254" s="7"/>
    </row>
    <row r="2255" spans="11:11" x14ac:dyDescent="0.3">
      <c r="K2255" s="7"/>
    </row>
    <row r="2256" spans="11:11" x14ac:dyDescent="0.3">
      <c r="K2256" s="7"/>
    </row>
    <row r="2257" spans="11:11" x14ac:dyDescent="0.3">
      <c r="K2257" s="7"/>
    </row>
    <row r="2258" spans="11:11" x14ac:dyDescent="0.3">
      <c r="K2258" s="7"/>
    </row>
    <row r="2259" spans="11:11" x14ac:dyDescent="0.3">
      <c r="K2259" s="7"/>
    </row>
    <row r="2260" spans="11:11" x14ac:dyDescent="0.3">
      <c r="K2260" s="7"/>
    </row>
    <row r="2261" spans="11:11" x14ac:dyDescent="0.3">
      <c r="K2261" s="7"/>
    </row>
    <row r="2262" spans="11:11" x14ac:dyDescent="0.3">
      <c r="K2262" s="7"/>
    </row>
    <row r="2263" spans="11:11" x14ac:dyDescent="0.3">
      <c r="K2263" s="7"/>
    </row>
    <row r="2264" spans="11:11" x14ac:dyDescent="0.3">
      <c r="K2264" s="7"/>
    </row>
    <row r="2265" spans="11:11" x14ac:dyDescent="0.3">
      <c r="K2265" s="7"/>
    </row>
    <row r="2266" spans="11:11" x14ac:dyDescent="0.3">
      <c r="K2266" s="7"/>
    </row>
    <row r="2267" spans="11:11" x14ac:dyDescent="0.3">
      <c r="K2267" s="7"/>
    </row>
    <row r="2268" spans="11:11" x14ac:dyDescent="0.3">
      <c r="K2268" s="7"/>
    </row>
    <row r="2269" spans="11:11" x14ac:dyDescent="0.3">
      <c r="K2269" s="7"/>
    </row>
    <row r="2270" spans="11:11" x14ac:dyDescent="0.3">
      <c r="K2270" s="7"/>
    </row>
    <row r="2271" spans="11:11" x14ac:dyDescent="0.3">
      <c r="K2271" s="7"/>
    </row>
    <row r="2272" spans="11:11" x14ac:dyDescent="0.3">
      <c r="K2272" s="7"/>
    </row>
    <row r="2273" spans="11:11" x14ac:dyDescent="0.3">
      <c r="K2273" s="7"/>
    </row>
    <row r="2274" spans="11:11" x14ac:dyDescent="0.3">
      <c r="K2274" s="7"/>
    </row>
    <row r="2275" spans="11:11" x14ac:dyDescent="0.3">
      <c r="K2275" s="7"/>
    </row>
    <row r="2276" spans="11:11" x14ac:dyDescent="0.3">
      <c r="K2276" s="7"/>
    </row>
    <row r="2277" spans="11:11" x14ac:dyDescent="0.3">
      <c r="K2277" s="7"/>
    </row>
    <row r="2278" spans="11:11" x14ac:dyDescent="0.3">
      <c r="K2278" s="7"/>
    </row>
    <row r="2279" spans="11:11" x14ac:dyDescent="0.3">
      <c r="K2279" s="7"/>
    </row>
    <row r="2280" spans="11:11" x14ac:dyDescent="0.3">
      <c r="K2280" s="7"/>
    </row>
    <row r="2281" spans="11:11" x14ac:dyDescent="0.3">
      <c r="K2281" s="7"/>
    </row>
    <row r="2282" spans="11:11" x14ac:dyDescent="0.3">
      <c r="K2282" s="7"/>
    </row>
    <row r="2283" spans="11:11" x14ac:dyDescent="0.3">
      <c r="K2283" s="7"/>
    </row>
    <row r="2284" spans="11:11" x14ac:dyDescent="0.3">
      <c r="K2284" s="7"/>
    </row>
    <row r="2285" spans="11:11" x14ac:dyDescent="0.3">
      <c r="K2285" s="7"/>
    </row>
    <row r="2286" spans="11:11" x14ac:dyDescent="0.3">
      <c r="K2286" s="7"/>
    </row>
    <row r="2287" spans="11:11" x14ac:dyDescent="0.3">
      <c r="K2287" s="7"/>
    </row>
    <row r="2288" spans="11:11" x14ac:dyDescent="0.3">
      <c r="K2288" s="7"/>
    </row>
    <row r="2289" spans="11:11" x14ac:dyDescent="0.3">
      <c r="K2289" s="7"/>
    </row>
    <row r="2290" spans="11:11" x14ac:dyDescent="0.3">
      <c r="K2290" s="7"/>
    </row>
    <row r="2291" spans="11:11" x14ac:dyDescent="0.3">
      <c r="K2291" s="7"/>
    </row>
    <row r="2292" spans="11:11" x14ac:dyDescent="0.3">
      <c r="K2292" s="7"/>
    </row>
    <row r="2293" spans="11:11" x14ac:dyDescent="0.3">
      <c r="K2293" s="7"/>
    </row>
    <row r="2294" spans="11:11" x14ac:dyDescent="0.3">
      <c r="K2294" s="7"/>
    </row>
    <row r="2295" spans="11:11" x14ac:dyDescent="0.3">
      <c r="K2295" s="7"/>
    </row>
    <row r="2296" spans="11:11" x14ac:dyDescent="0.3">
      <c r="K2296" s="7"/>
    </row>
    <row r="2297" spans="11:11" x14ac:dyDescent="0.3">
      <c r="K2297" s="7"/>
    </row>
    <row r="2298" spans="11:11" x14ac:dyDescent="0.3">
      <c r="K2298" s="7"/>
    </row>
    <row r="2299" spans="11:11" x14ac:dyDescent="0.3">
      <c r="K2299" s="7"/>
    </row>
    <row r="2300" spans="11:11" x14ac:dyDescent="0.3">
      <c r="K2300" s="7"/>
    </row>
    <row r="2301" spans="11:11" x14ac:dyDescent="0.3">
      <c r="K2301" s="7"/>
    </row>
    <row r="2302" spans="11:11" x14ac:dyDescent="0.3">
      <c r="K2302" s="7"/>
    </row>
    <row r="2303" spans="11:11" x14ac:dyDescent="0.3">
      <c r="K2303" s="7"/>
    </row>
    <row r="2304" spans="11:11" x14ac:dyDescent="0.3">
      <c r="K2304" s="7"/>
    </row>
    <row r="2305" spans="11:11" x14ac:dyDescent="0.3">
      <c r="K2305" s="7"/>
    </row>
    <row r="2306" spans="11:11" x14ac:dyDescent="0.3">
      <c r="K2306" s="7"/>
    </row>
    <row r="2307" spans="11:11" x14ac:dyDescent="0.3">
      <c r="K2307" s="7"/>
    </row>
    <row r="2308" spans="11:11" x14ac:dyDescent="0.3">
      <c r="K2308" s="7"/>
    </row>
    <row r="2309" spans="11:11" x14ac:dyDescent="0.3">
      <c r="K2309" s="7"/>
    </row>
    <row r="2310" spans="11:11" x14ac:dyDescent="0.3">
      <c r="K2310" s="7"/>
    </row>
    <row r="2311" spans="11:11" x14ac:dyDescent="0.3">
      <c r="K2311" s="7"/>
    </row>
    <row r="2312" spans="11:11" x14ac:dyDescent="0.3">
      <c r="K2312" s="7"/>
    </row>
    <row r="2313" spans="11:11" x14ac:dyDescent="0.3">
      <c r="K2313" s="7"/>
    </row>
    <row r="2314" spans="11:11" x14ac:dyDescent="0.3">
      <c r="K2314" s="7"/>
    </row>
    <row r="2315" spans="11:11" x14ac:dyDescent="0.3">
      <c r="K2315" s="7"/>
    </row>
    <row r="2316" spans="11:11" x14ac:dyDescent="0.3">
      <c r="K2316" s="7"/>
    </row>
    <row r="2317" spans="11:11" x14ac:dyDescent="0.3">
      <c r="K2317" s="7"/>
    </row>
    <row r="2318" spans="11:11" x14ac:dyDescent="0.3">
      <c r="K2318" s="7"/>
    </row>
    <row r="2319" spans="11:11" x14ac:dyDescent="0.3">
      <c r="K2319" s="7"/>
    </row>
    <row r="2320" spans="11:11" x14ac:dyDescent="0.3">
      <c r="K2320" s="7"/>
    </row>
    <row r="2321" spans="11:11" x14ac:dyDescent="0.3">
      <c r="K2321" s="7"/>
    </row>
    <row r="2322" spans="11:11" x14ac:dyDescent="0.3">
      <c r="K2322" s="7"/>
    </row>
    <row r="2323" spans="11:11" x14ac:dyDescent="0.3">
      <c r="K2323" s="7"/>
    </row>
    <row r="2324" spans="11:11" x14ac:dyDescent="0.3">
      <c r="K2324" s="7"/>
    </row>
    <row r="2325" spans="11:11" x14ac:dyDescent="0.3">
      <c r="K2325" s="7"/>
    </row>
    <row r="2326" spans="11:11" x14ac:dyDescent="0.3">
      <c r="K2326" s="7"/>
    </row>
    <row r="2327" spans="11:11" x14ac:dyDescent="0.3">
      <c r="K2327" s="7"/>
    </row>
    <row r="2328" spans="11:11" x14ac:dyDescent="0.3">
      <c r="K2328" s="7"/>
    </row>
    <row r="2329" spans="11:11" x14ac:dyDescent="0.3">
      <c r="K2329" s="7"/>
    </row>
    <row r="2330" spans="11:11" x14ac:dyDescent="0.3">
      <c r="K2330" s="7"/>
    </row>
    <row r="2331" spans="11:11" x14ac:dyDescent="0.3">
      <c r="K2331" s="7"/>
    </row>
    <row r="2332" spans="11:11" x14ac:dyDescent="0.3">
      <c r="K2332" s="7"/>
    </row>
    <row r="2333" spans="11:11" x14ac:dyDescent="0.3">
      <c r="K2333" s="7"/>
    </row>
    <row r="2334" spans="11:11" x14ac:dyDescent="0.3">
      <c r="K2334" s="7"/>
    </row>
    <row r="2335" spans="11:11" x14ac:dyDescent="0.3">
      <c r="K2335" s="7"/>
    </row>
    <row r="2336" spans="11:11" x14ac:dyDescent="0.3">
      <c r="K2336" s="7"/>
    </row>
    <row r="2337" spans="11:11" x14ac:dyDescent="0.3">
      <c r="K2337" s="7"/>
    </row>
    <row r="2338" spans="11:11" x14ac:dyDescent="0.3">
      <c r="K2338" s="7"/>
    </row>
    <row r="2339" spans="11:11" x14ac:dyDescent="0.3">
      <c r="K2339" s="7"/>
    </row>
    <row r="2340" spans="11:11" x14ac:dyDescent="0.3">
      <c r="K2340" s="7"/>
    </row>
    <row r="2341" spans="11:11" x14ac:dyDescent="0.3">
      <c r="K2341" s="7"/>
    </row>
    <row r="2342" spans="11:11" x14ac:dyDescent="0.3">
      <c r="K2342" s="7"/>
    </row>
    <row r="2343" spans="11:11" x14ac:dyDescent="0.3">
      <c r="K2343" s="7"/>
    </row>
    <row r="2344" spans="11:11" x14ac:dyDescent="0.3">
      <c r="K2344" s="7"/>
    </row>
    <row r="2345" spans="11:11" x14ac:dyDescent="0.3">
      <c r="K2345" s="7"/>
    </row>
    <row r="2346" spans="11:11" x14ac:dyDescent="0.3">
      <c r="K2346" s="7"/>
    </row>
    <row r="2347" spans="11:11" x14ac:dyDescent="0.3">
      <c r="K2347" s="7"/>
    </row>
    <row r="2348" spans="11:11" x14ac:dyDescent="0.3">
      <c r="K2348" s="7"/>
    </row>
    <row r="2349" spans="11:11" x14ac:dyDescent="0.3">
      <c r="K2349" s="7"/>
    </row>
    <row r="2350" spans="11:11" x14ac:dyDescent="0.3">
      <c r="K2350" s="7"/>
    </row>
    <row r="2351" spans="11:11" x14ac:dyDescent="0.3">
      <c r="K2351" s="7"/>
    </row>
    <row r="2352" spans="11:11" x14ac:dyDescent="0.3">
      <c r="K2352" s="7"/>
    </row>
    <row r="2353" spans="11:11" x14ac:dyDescent="0.3">
      <c r="K2353" s="7"/>
    </row>
    <row r="2354" spans="11:11" x14ac:dyDescent="0.3">
      <c r="K2354" s="7"/>
    </row>
    <row r="2355" spans="11:11" x14ac:dyDescent="0.3">
      <c r="K2355" s="7"/>
    </row>
    <row r="2356" spans="11:11" x14ac:dyDescent="0.3">
      <c r="K2356" s="7"/>
    </row>
    <row r="2357" spans="11:11" x14ac:dyDescent="0.3">
      <c r="K2357" s="7"/>
    </row>
    <row r="2358" spans="11:11" x14ac:dyDescent="0.3">
      <c r="K2358" s="7"/>
    </row>
    <row r="2359" spans="11:11" x14ac:dyDescent="0.3">
      <c r="K2359" s="7"/>
    </row>
    <row r="2360" spans="11:11" x14ac:dyDescent="0.3">
      <c r="K2360" s="7"/>
    </row>
    <row r="2361" spans="11:11" x14ac:dyDescent="0.3">
      <c r="K2361" s="7"/>
    </row>
    <row r="2362" spans="11:11" x14ac:dyDescent="0.3">
      <c r="K2362" s="7"/>
    </row>
    <row r="2363" spans="11:11" x14ac:dyDescent="0.3">
      <c r="K2363" s="7"/>
    </row>
    <row r="2364" spans="11:11" x14ac:dyDescent="0.3">
      <c r="K2364" s="7"/>
    </row>
    <row r="2365" spans="11:11" x14ac:dyDescent="0.3">
      <c r="K2365" s="7"/>
    </row>
    <row r="2366" spans="11:11" x14ac:dyDescent="0.3">
      <c r="K2366" s="7"/>
    </row>
    <row r="2367" spans="11:11" x14ac:dyDescent="0.3">
      <c r="K2367" s="7"/>
    </row>
    <row r="2368" spans="11:11" x14ac:dyDescent="0.3">
      <c r="K2368" s="7"/>
    </row>
    <row r="2369" spans="11:11" x14ac:dyDescent="0.3">
      <c r="K2369" s="7"/>
    </row>
    <row r="2370" spans="11:11" x14ac:dyDescent="0.3">
      <c r="K2370" s="7"/>
    </row>
    <row r="2371" spans="11:11" x14ac:dyDescent="0.3">
      <c r="K2371" s="7"/>
    </row>
    <row r="2372" spans="11:11" x14ac:dyDescent="0.3">
      <c r="K2372" s="7"/>
    </row>
    <row r="2373" spans="11:11" x14ac:dyDescent="0.3">
      <c r="K2373" s="7"/>
    </row>
    <row r="2374" spans="11:11" x14ac:dyDescent="0.3">
      <c r="K2374" s="7"/>
    </row>
    <row r="2375" spans="11:11" x14ac:dyDescent="0.3">
      <c r="K2375" s="7"/>
    </row>
    <row r="2376" spans="11:11" x14ac:dyDescent="0.3">
      <c r="K2376" s="7"/>
    </row>
    <row r="2377" spans="11:11" x14ac:dyDescent="0.3">
      <c r="K2377" s="7"/>
    </row>
    <row r="2378" spans="11:11" x14ac:dyDescent="0.3">
      <c r="K2378" s="7"/>
    </row>
    <row r="2379" spans="11:11" x14ac:dyDescent="0.3">
      <c r="K2379" s="7"/>
    </row>
    <row r="2380" spans="11:11" x14ac:dyDescent="0.3">
      <c r="K2380" s="7"/>
    </row>
    <row r="2381" spans="11:11" x14ac:dyDescent="0.3">
      <c r="K2381" s="7"/>
    </row>
    <row r="2382" spans="11:11" x14ac:dyDescent="0.3">
      <c r="K2382" s="7"/>
    </row>
    <row r="2383" spans="11:11" x14ac:dyDescent="0.3">
      <c r="K2383" s="7"/>
    </row>
    <row r="2384" spans="11:11" x14ac:dyDescent="0.3">
      <c r="K2384" s="7"/>
    </row>
    <row r="2385" spans="11:11" x14ac:dyDescent="0.3">
      <c r="K2385" s="7"/>
    </row>
    <row r="2386" spans="11:11" x14ac:dyDescent="0.3">
      <c r="K2386" s="7"/>
    </row>
    <row r="2387" spans="11:11" x14ac:dyDescent="0.3">
      <c r="K2387" s="7"/>
    </row>
    <row r="2388" spans="11:11" x14ac:dyDescent="0.3">
      <c r="K2388" s="7"/>
    </row>
    <row r="2389" spans="11:11" x14ac:dyDescent="0.3">
      <c r="K2389" s="7"/>
    </row>
    <row r="2390" spans="11:11" x14ac:dyDescent="0.3">
      <c r="K2390" s="7"/>
    </row>
    <row r="2391" spans="11:11" x14ac:dyDescent="0.3">
      <c r="K2391" s="7"/>
    </row>
    <row r="2392" spans="11:11" x14ac:dyDescent="0.3">
      <c r="K2392" s="7"/>
    </row>
    <row r="2393" spans="11:11" x14ac:dyDescent="0.3">
      <c r="K2393" s="7"/>
    </row>
    <row r="2394" spans="11:11" x14ac:dyDescent="0.3">
      <c r="K2394" s="7"/>
    </row>
    <row r="2395" spans="11:11" x14ac:dyDescent="0.3">
      <c r="K2395" s="7"/>
    </row>
    <row r="2396" spans="11:11" x14ac:dyDescent="0.3">
      <c r="K2396" s="7"/>
    </row>
    <row r="2397" spans="11:11" x14ac:dyDescent="0.3">
      <c r="K2397" s="7"/>
    </row>
    <row r="2398" spans="11:11" x14ac:dyDescent="0.3">
      <c r="K2398" s="7"/>
    </row>
    <row r="2399" spans="11:11" x14ac:dyDescent="0.3">
      <c r="K2399" s="7"/>
    </row>
    <row r="2400" spans="11:11" x14ac:dyDescent="0.3">
      <c r="K2400" s="7"/>
    </row>
    <row r="2401" spans="11:11" x14ac:dyDescent="0.3">
      <c r="K2401" s="7"/>
    </row>
    <row r="2402" spans="11:11" x14ac:dyDescent="0.3">
      <c r="K2402" s="7"/>
    </row>
    <row r="2403" spans="11:11" x14ac:dyDescent="0.3">
      <c r="K2403" s="7"/>
    </row>
    <row r="2404" spans="11:11" x14ac:dyDescent="0.3">
      <c r="K2404" s="7"/>
    </row>
    <row r="2405" spans="11:11" x14ac:dyDescent="0.3">
      <c r="K2405" s="7"/>
    </row>
    <row r="2406" spans="11:11" x14ac:dyDescent="0.3">
      <c r="K2406" s="7"/>
    </row>
    <row r="2407" spans="11:11" x14ac:dyDescent="0.3">
      <c r="K2407" s="7"/>
    </row>
    <row r="2408" spans="11:11" x14ac:dyDescent="0.3">
      <c r="K2408" s="7"/>
    </row>
    <row r="2409" spans="11:11" x14ac:dyDescent="0.3">
      <c r="K2409" s="7"/>
    </row>
    <row r="2410" spans="11:11" x14ac:dyDescent="0.3">
      <c r="K2410" s="7"/>
    </row>
    <row r="2411" spans="11:11" x14ac:dyDescent="0.3">
      <c r="K2411" s="7"/>
    </row>
    <row r="2412" spans="11:11" x14ac:dyDescent="0.3">
      <c r="K2412" s="7"/>
    </row>
    <row r="2413" spans="11:11" x14ac:dyDescent="0.3">
      <c r="K2413" s="7"/>
    </row>
    <row r="2414" spans="11:11" x14ac:dyDescent="0.3">
      <c r="K2414" s="7"/>
    </row>
    <row r="2415" spans="11:11" x14ac:dyDescent="0.3">
      <c r="K2415" s="7"/>
    </row>
    <row r="2416" spans="11:11" x14ac:dyDescent="0.3">
      <c r="K2416" s="7"/>
    </row>
    <row r="2417" spans="11:11" x14ac:dyDescent="0.3">
      <c r="K2417" s="7"/>
    </row>
    <row r="2418" spans="11:11" x14ac:dyDescent="0.3">
      <c r="K2418" s="7"/>
    </row>
    <row r="2419" spans="11:11" x14ac:dyDescent="0.3">
      <c r="K2419" s="7"/>
    </row>
    <row r="2420" spans="11:11" x14ac:dyDescent="0.3">
      <c r="K2420" s="7"/>
    </row>
    <row r="2421" spans="11:11" x14ac:dyDescent="0.3">
      <c r="K2421" s="7"/>
    </row>
    <row r="2422" spans="11:11" x14ac:dyDescent="0.3">
      <c r="K2422" s="7"/>
    </row>
    <row r="2423" spans="11:11" x14ac:dyDescent="0.3">
      <c r="K2423" s="7"/>
    </row>
    <row r="2424" spans="11:11" x14ac:dyDescent="0.3">
      <c r="K2424" s="7"/>
    </row>
    <row r="2425" spans="11:11" x14ac:dyDescent="0.3">
      <c r="K2425" s="7"/>
    </row>
    <row r="2426" spans="11:11" x14ac:dyDescent="0.3">
      <c r="K2426" s="7"/>
    </row>
    <row r="2427" spans="11:11" x14ac:dyDescent="0.3">
      <c r="K2427" s="7"/>
    </row>
    <row r="2428" spans="11:11" x14ac:dyDescent="0.3">
      <c r="K2428" s="7"/>
    </row>
    <row r="2429" spans="11:11" x14ac:dyDescent="0.3">
      <c r="K2429" s="7"/>
    </row>
    <row r="2430" spans="11:11" x14ac:dyDescent="0.3">
      <c r="K2430" s="7"/>
    </row>
    <row r="2431" spans="11:11" x14ac:dyDescent="0.3">
      <c r="K2431" s="7"/>
    </row>
    <row r="2432" spans="11:11" x14ac:dyDescent="0.3">
      <c r="K2432" s="7"/>
    </row>
    <row r="2433" spans="11:11" x14ac:dyDescent="0.3">
      <c r="K2433" s="7"/>
    </row>
    <row r="2434" spans="11:11" x14ac:dyDescent="0.3">
      <c r="K2434" s="7"/>
    </row>
    <row r="2435" spans="11:11" x14ac:dyDescent="0.3">
      <c r="K2435" s="7"/>
    </row>
    <row r="2436" spans="11:11" x14ac:dyDescent="0.3">
      <c r="K2436" s="7"/>
    </row>
    <row r="2437" spans="11:11" x14ac:dyDescent="0.3">
      <c r="K2437" s="7"/>
    </row>
    <row r="2438" spans="11:11" x14ac:dyDescent="0.3">
      <c r="K2438" s="7"/>
    </row>
    <row r="2439" spans="11:11" x14ac:dyDescent="0.3">
      <c r="K2439" s="7"/>
    </row>
    <row r="2440" spans="11:11" x14ac:dyDescent="0.3">
      <c r="K2440" s="7"/>
    </row>
    <row r="2441" spans="11:11" x14ac:dyDescent="0.3">
      <c r="K2441" s="7"/>
    </row>
    <row r="2442" spans="11:11" x14ac:dyDescent="0.3">
      <c r="K2442" s="7"/>
    </row>
    <row r="2443" spans="11:11" x14ac:dyDescent="0.3">
      <c r="K2443" s="7"/>
    </row>
    <row r="2444" spans="11:11" x14ac:dyDescent="0.3">
      <c r="K2444" s="7"/>
    </row>
    <row r="2445" spans="11:11" x14ac:dyDescent="0.3">
      <c r="K2445" s="7"/>
    </row>
    <row r="2446" spans="11:11" x14ac:dyDescent="0.3">
      <c r="K2446" s="7"/>
    </row>
    <row r="2447" spans="11:11" x14ac:dyDescent="0.3">
      <c r="K2447" s="7"/>
    </row>
    <row r="2448" spans="11:11" x14ac:dyDescent="0.3">
      <c r="K2448" s="7"/>
    </row>
    <row r="2449" spans="11:11" x14ac:dyDescent="0.3">
      <c r="K2449" s="7"/>
    </row>
    <row r="2450" spans="11:11" x14ac:dyDescent="0.3">
      <c r="K2450" s="7"/>
    </row>
    <row r="2451" spans="11:11" x14ac:dyDescent="0.3">
      <c r="K2451" s="7"/>
    </row>
    <row r="2452" spans="11:11" x14ac:dyDescent="0.3">
      <c r="K2452" s="7"/>
    </row>
    <row r="2453" spans="11:11" x14ac:dyDescent="0.3">
      <c r="K2453" s="7"/>
    </row>
    <row r="2454" spans="11:11" x14ac:dyDescent="0.3">
      <c r="K2454" s="7"/>
    </row>
    <row r="2455" spans="11:11" x14ac:dyDescent="0.3">
      <c r="K2455" s="7"/>
    </row>
    <row r="2456" spans="11:11" x14ac:dyDescent="0.3">
      <c r="K2456" s="7"/>
    </row>
    <row r="2457" spans="11:11" x14ac:dyDescent="0.3">
      <c r="K2457" s="7"/>
    </row>
    <row r="2458" spans="11:11" x14ac:dyDescent="0.3">
      <c r="K2458" s="7"/>
    </row>
    <row r="2459" spans="11:11" x14ac:dyDescent="0.3">
      <c r="K2459" s="7"/>
    </row>
    <row r="2460" spans="11:11" x14ac:dyDescent="0.3">
      <c r="K2460" s="7"/>
    </row>
    <row r="2461" spans="11:11" x14ac:dyDescent="0.3">
      <c r="K2461" s="7"/>
    </row>
    <row r="2462" spans="11:11" x14ac:dyDescent="0.3">
      <c r="K2462" s="7"/>
    </row>
    <row r="2463" spans="11:11" x14ac:dyDescent="0.3">
      <c r="K2463" s="7"/>
    </row>
    <row r="2464" spans="11:11" x14ac:dyDescent="0.3">
      <c r="K2464" s="7"/>
    </row>
    <row r="2465" spans="11:11" x14ac:dyDescent="0.3">
      <c r="K2465" s="7"/>
    </row>
    <row r="2466" spans="11:11" x14ac:dyDescent="0.3">
      <c r="K2466" s="7"/>
    </row>
    <row r="2467" spans="11:11" x14ac:dyDescent="0.3">
      <c r="K2467" s="7"/>
    </row>
    <row r="2468" spans="11:11" x14ac:dyDescent="0.3">
      <c r="K2468" s="7"/>
    </row>
    <row r="2469" spans="11:11" x14ac:dyDescent="0.3">
      <c r="K2469" s="7"/>
    </row>
    <row r="2470" spans="11:11" x14ac:dyDescent="0.3">
      <c r="K2470" s="7"/>
    </row>
    <row r="2471" spans="11:11" x14ac:dyDescent="0.3">
      <c r="K2471" s="7"/>
    </row>
    <row r="2472" spans="11:11" x14ac:dyDescent="0.3">
      <c r="K2472" s="7"/>
    </row>
    <row r="2473" spans="11:11" x14ac:dyDescent="0.3">
      <c r="K2473" s="7"/>
    </row>
    <row r="2474" spans="11:11" x14ac:dyDescent="0.3">
      <c r="K2474" s="7"/>
    </row>
    <row r="2475" spans="11:11" x14ac:dyDescent="0.3">
      <c r="K2475" s="7"/>
    </row>
    <row r="2476" spans="11:11" x14ac:dyDescent="0.3">
      <c r="K2476" s="7"/>
    </row>
    <row r="2477" spans="11:11" x14ac:dyDescent="0.3">
      <c r="K2477" s="7"/>
    </row>
    <row r="2478" spans="11:11" x14ac:dyDescent="0.3">
      <c r="K2478" s="7"/>
    </row>
    <row r="2479" spans="11:11" x14ac:dyDescent="0.3">
      <c r="K2479" s="7"/>
    </row>
    <row r="2480" spans="11:11" x14ac:dyDescent="0.3">
      <c r="K2480" s="7"/>
    </row>
    <row r="2481" spans="11:11" x14ac:dyDescent="0.3">
      <c r="K2481" s="7"/>
    </row>
    <row r="2482" spans="11:11" x14ac:dyDescent="0.3">
      <c r="K2482" s="7"/>
    </row>
    <row r="2483" spans="11:11" x14ac:dyDescent="0.3">
      <c r="K2483" s="7"/>
    </row>
    <row r="2484" spans="11:11" x14ac:dyDescent="0.3">
      <c r="K2484" s="7"/>
    </row>
    <row r="2485" spans="11:11" x14ac:dyDescent="0.3">
      <c r="K2485" s="7"/>
    </row>
    <row r="2486" spans="11:11" x14ac:dyDescent="0.3">
      <c r="K2486" s="7"/>
    </row>
    <row r="2487" spans="11:11" x14ac:dyDescent="0.3">
      <c r="K2487" s="7"/>
    </row>
    <row r="2488" spans="11:11" x14ac:dyDescent="0.3">
      <c r="K2488" s="7"/>
    </row>
    <row r="2489" spans="11:11" x14ac:dyDescent="0.3">
      <c r="K2489" s="7"/>
    </row>
    <row r="2490" spans="11:11" x14ac:dyDescent="0.3">
      <c r="K2490" s="7"/>
    </row>
    <row r="2491" spans="11:11" x14ac:dyDescent="0.3">
      <c r="K2491" s="7"/>
    </row>
    <row r="2492" spans="11:11" x14ac:dyDescent="0.3">
      <c r="K2492" s="7"/>
    </row>
    <row r="2493" spans="11:11" x14ac:dyDescent="0.3">
      <c r="K2493" s="7"/>
    </row>
    <row r="2494" spans="11:11" x14ac:dyDescent="0.3">
      <c r="K2494" s="7"/>
    </row>
    <row r="2495" spans="11:11" x14ac:dyDescent="0.3">
      <c r="K2495" s="7"/>
    </row>
    <row r="2496" spans="11:11" x14ac:dyDescent="0.3">
      <c r="K2496" s="7"/>
    </row>
    <row r="2497" spans="11:11" x14ac:dyDescent="0.3">
      <c r="K2497" s="7"/>
    </row>
    <row r="2498" spans="11:11" x14ac:dyDescent="0.3">
      <c r="K2498" s="7"/>
    </row>
    <row r="2499" spans="11:11" x14ac:dyDescent="0.3">
      <c r="K2499" s="7"/>
    </row>
    <row r="2500" spans="11:11" x14ac:dyDescent="0.3">
      <c r="K2500" s="7"/>
    </row>
    <row r="2501" spans="11:11" x14ac:dyDescent="0.3">
      <c r="K2501" s="7"/>
    </row>
    <row r="2502" spans="11:11" x14ac:dyDescent="0.3">
      <c r="K2502" s="7"/>
    </row>
    <row r="2503" spans="11:11" x14ac:dyDescent="0.3">
      <c r="K2503" s="7"/>
    </row>
    <row r="2504" spans="11:11" x14ac:dyDescent="0.3">
      <c r="K2504" s="7"/>
    </row>
    <row r="2505" spans="11:11" x14ac:dyDescent="0.3">
      <c r="K2505" s="7"/>
    </row>
    <row r="2506" spans="11:11" x14ac:dyDescent="0.3">
      <c r="K2506" s="7"/>
    </row>
    <row r="2507" spans="11:11" x14ac:dyDescent="0.3">
      <c r="K2507" s="7"/>
    </row>
    <row r="2508" spans="11:11" x14ac:dyDescent="0.3">
      <c r="K2508" s="7"/>
    </row>
    <row r="2509" spans="11:11" x14ac:dyDescent="0.3">
      <c r="K2509" s="7"/>
    </row>
    <row r="2510" spans="11:11" x14ac:dyDescent="0.3">
      <c r="K2510" s="7"/>
    </row>
    <row r="2511" spans="11:11" x14ac:dyDescent="0.3">
      <c r="K2511" s="7"/>
    </row>
    <row r="2512" spans="11:11" x14ac:dyDescent="0.3">
      <c r="K2512" s="7"/>
    </row>
    <row r="2513" spans="11:11" x14ac:dyDescent="0.3">
      <c r="K2513" s="7"/>
    </row>
    <row r="2514" spans="11:11" x14ac:dyDescent="0.3">
      <c r="K2514" s="7"/>
    </row>
    <row r="2515" spans="11:11" x14ac:dyDescent="0.3">
      <c r="K2515" s="7"/>
    </row>
    <row r="2516" spans="11:11" x14ac:dyDescent="0.3">
      <c r="K2516" s="7"/>
    </row>
    <row r="2517" spans="11:11" x14ac:dyDescent="0.3">
      <c r="K2517" s="7"/>
    </row>
    <row r="2518" spans="11:11" x14ac:dyDescent="0.3">
      <c r="K2518" s="7"/>
    </row>
    <row r="2519" spans="11:11" x14ac:dyDescent="0.3">
      <c r="K2519" s="7"/>
    </row>
    <row r="2520" spans="11:11" x14ac:dyDescent="0.3">
      <c r="K2520" s="7"/>
    </row>
    <row r="2521" spans="11:11" x14ac:dyDescent="0.3">
      <c r="K2521" s="7"/>
    </row>
    <row r="2522" spans="11:11" x14ac:dyDescent="0.3">
      <c r="K2522" s="7"/>
    </row>
    <row r="2523" spans="11:11" x14ac:dyDescent="0.3">
      <c r="K2523" s="7"/>
    </row>
    <row r="2524" spans="11:11" x14ac:dyDescent="0.3">
      <c r="K2524" s="7"/>
    </row>
    <row r="2525" spans="11:11" x14ac:dyDescent="0.3">
      <c r="K2525" s="7"/>
    </row>
    <row r="2526" spans="11:11" x14ac:dyDescent="0.3">
      <c r="K2526" s="7"/>
    </row>
    <row r="2527" spans="11:11" x14ac:dyDescent="0.3">
      <c r="K2527" s="7"/>
    </row>
    <row r="2528" spans="11:11" x14ac:dyDescent="0.3">
      <c r="K2528" s="7"/>
    </row>
    <row r="2529" spans="11:11" x14ac:dyDescent="0.3">
      <c r="K2529" s="7"/>
    </row>
    <row r="2530" spans="11:11" x14ac:dyDescent="0.3">
      <c r="K2530" s="7"/>
    </row>
    <row r="2531" spans="11:11" x14ac:dyDescent="0.3">
      <c r="K2531" s="7"/>
    </row>
    <row r="2532" spans="11:11" x14ac:dyDescent="0.3">
      <c r="K2532" s="7"/>
    </row>
    <row r="2533" spans="11:11" x14ac:dyDescent="0.3">
      <c r="K2533" s="7"/>
    </row>
    <row r="2534" spans="11:11" x14ac:dyDescent="0.3">
      <c r="K2534" s="7"/>
    </row>
    <row r="2535" spans="11:11" x14ac:dyDescent="0.3">
      <c r="K2535" s="7"/>
    </row>
    <row r="2536" spans="11:11" x14ac:dyDescent="0.3">
      <c r="K2536" s="7"/>
    </row>
    <row r="2537" spans="11:11" x14ac:dyDescent="0.3">
      <c r="K2537" s="7"/>
    </row>
    <row r="2538" spans="11:11" x14ac:dyDescent="0.3">
      <c r="K2538" s="7"/>
    </row>
    <row r="2539" spans="11:11" x14ac:dyDescent="0.3">
      <c r="K2539" s="7"/>
    </row>
    <row r="2540" spans="11:11" x14ac:dyDescent="0.3">
      <c r="K2540" s="7"/>
    </row>
    <row r="2541" spans="11:11" x14ac:dyDescent="0.3">
      <c r="K2541" s="7"/>
    </row>
    <row r="2542" spans="11:11" x14ac:dyDescent="0.3">
      <c r="K2542" s="7"/>
    </row>
    <row r="2543" spans="11:11" x14ac:dyDescent="0.3">
      <c r="K2543" s="7"/>
    </row>
    <row r="2544" spans="11:11" x14ac:dyDescent="0.3">
      <c r="K2544" s="7"/>
    </row>
    <row r="2545" spans="11:11" x14ac:dyDescent="0.3">
      <c r="K2545" s="7"/>
    </row>
    <row r="2546" spans="11:11" x14ac:dyDescent="0.3">
      <c r="K2546" s="7"/>
    </row>
    <row r="2547" spans="11:11" x14ac:dyDescent="0.3">
      <c r="K2547" s="7"/>
    </row>
    <row r="2548" spans="11:11" x14ac:dyDescent="0.3">
      <c r="K2548" s="7"/>
    </row>
    <row r="2549" spans="11:11" x14ac:dyDescent="0.3">
      <c r="K2549" s="7"/>
    </row>
    <row r="2550" spans="11:11" x14ac:dyDescent="0.3">
      <c r="K2550" s="7"/>
    </row>
    <row r="2551" spans="11:11" x14ac:dyDescent="0.3">
      <c r="K2551" s="7"/>
    </row>
    <row r="2552" spans="11:11" x14ac:dyDescent="0.3">
      <c r="K2552" s="7"/>
    </row>
    <row r="2553" spans="11:11" x14ac:dyDescent="0.3">
      <c r="K2553" s="7"/>
    </row>
    <row r="2554" spans="11:11" x14ac:dyDescent="0.3">
      <c r="K2554" s="7"/>
    </row>
    <row r="2555" spans="11:11" x14ac:dyDescent="0.3">
      <c r="K2555" s="7"/>
    </row>
    <row r="2556" spans="11:11" x14ac:dyDescent="0.3">
      <c r="K2556" s="7"/>
    </row>
    <row r="2557" spans="11:11" x14ac:dyDescent="0.3">
      <c r="K2557" s="7"/>
    </row>
    <row r="2558" spans="11:11" x14ac:dyDescent="0.3">
      <c r="K2558" s="7"/>
    </row>
    <row r="2559" spans="11:11" x14ac:dyDescent="0.3">
      <c r="K2559" s="7"/>
    </row>
    <row r="2560" spans="11:11" x14ac:dyDescent="0.3">
      <c r="K2560" s="7"/>
    </row>
    <row r="2561" spans="11:11" x14ac:dyDescent="0.3">
      <c r="K2561" s="7"/>
    </row>
    <row r="2562" spans="11:11" x14ac:dyDescent="0.3">
      <c r="K2562" s="7"/>
    </row>
    <row r="2563" spans="11:11" x14ac:dyDescent="0.3">
      <c r="K2563" s="7"/>
    </row>
    <row r="2564" spans="11:11" x14ac:dyDescent="0.3">
      <c r="K2564" s="7"/>
    </row>
    <row r="2565" spans="11:11" x14ac:dyDescent="0.3">
      <c r="K2565" s="7"/>
    </row>
    <row r="2566" spans="11:11" x14ac:dyDescent="0.3">
      <c r="K2566" s="7"/>
    </row>
    <row r="2567" spans="11:11" x14ac:dyDescent="0.3">
      <c r="K2567" s="7"/>
    </row>
    <row r="2568" spans="11:11" x14ac:dyDescent="0.3">
      <c r="K2568" s="7"/>
    </row>
    <row r="2569" spans="11:11" x14ac:dyDescent="0.3">
      <c r="K2569" s="7"/>
    </row>
    <row r="2570" spans="11:11" x14ac:dyDescent="0.3">
      <c r="K2570" s="7"/>
    </row>
    <row r="2571" spans="11:11" x14ac:dyDescent="0.3">
      <c r="K2571" s="7"/>
    </row>
    <row r="2572" spans="11:11" x14ac:dyDescent="0.3">
      <c r="K2572" s="7"/>
    </row>
    <row r="2573" spans="11:11" x14ac:dyDescent="0.3">
      <c r="K2573" s="7"/>
    </row>
    <row r="2574" spans="11:11" x14ac:dyDescent="0.3">
      <c r="K2574" s="7"/>
    </row>
    <row r="2575" spans="11:11" x14ac:dyDescent="0.3">
      <c r="K2575" s="7"/>
    </row>
    <row r="2576" spans="11:11" x14ac:dyDescent="0.3">
      <c r="K2576" s="7"/>
    </row>
    <row r="2577" spans="11:11" x14ac:dyDescent="0.3">
      <c r="K2577" s="7"/>
    </row>
    <row r="2578" spans="11:11" x14ac:dyDescent="0.3">
      <c r="K2578" s="7"/>
    </row>
    <row r="2579" spans="11:11" x14ac:dyDescent="0.3">
      <c r="K2579" s="7"/>
    </row>
    <row r="2580" spans="11:11" x14ac:dyDescent="0.3">
      <c r="K2580" s="7"/>
    </row>
    <row r="2581" spans="11:11" x14ac:dyDescent="0.3">
      <c r="K2581" s="7"/>
    </row>
    <row r="2582" spans="11:11" x14ac:dyDescent="0.3">
      <c r="K2582" s="7"/>
    </row>
    <row r="2583" spans="11:11" x14ac:dyDescent="0.3">
      <c r="K2583" s="7"/>
    </row>
    <row r="2584" spans="11:11" x14ac:dyDescent="0.3">
      <c r="K2584" s="7"/>
    </row>
    <row r="2585" spans="11:11" x14ac:dyDescent="0.3">
      <c r="K2585" s="7"/>
    </row>
    <row r="2586" spans="11:11" x14ac:dyDescent="0.3">
      <c r="K2586" s="7"/>
    </row>
    <row r="2587" spans="11:11" x14ac:dyDescent="0.3">
      <c r="K2587" s="7"/>
    </row>
    <row r="2588" spans="11:11" x14ac:dyDescent="0.3">
      <c r="K2588" s="7"/>
    </row>
    <row r="2589" spans="11:11" x14ac:dyDescent="0.3">
      <c r="K2589" s="7"/>
    </row>
    <row r="2590" spans="11:11" x14ac:dyDescent="0.3">
      <c r="K2590" s="7"/>
    </row>
    <row r="2591" spans="11:11" x14ac:dyDescent="0.3">
      <c r="K2591" s="7"/>
    </row>
    <row r="2592" spans="11:11" x14ac:dyDescent="0.3">
      <c r="K2592" s="7"/>
    </row>
    <row r="2593" spans="11:11" x14ac:dyDescent="0.3">
      <c r="K2593" s="7"/>
    </row>
    <row r="2594" spans="11:11" x14ac:dyDescent="0.3">
      <c r="K2594" s="7"/>
    </row>
    <row r="2595" spans="11:11" x14ac:dyDescent="0.3">
      <c r="K2595" s="7"/>
    </row>
    <row r="2596" spans="11:11" x14ac:dyDescent="0.3">
      <c r="K2596" s="7"/>
    </row>
    <row r="2597" spans="11:11" x14ac:dyDescent="0.3">
      <c r="K2597" s="7"/>
    </row>
    <row r="2598" spans="11:11" x14ac:dyDescent="0.3">
      <c r="K2598" s="7"/>
    </row>
    <row r="2599" spans="11:11" x14ac:dyDescent="0.3">
      <c r="K2599" s="7"/>
    </row>
    <row r="2600" spans="11:11" x14ac:dyDescent="0.3">
      <c r="K2600" s="7"/>
    </row>
    <row r="2601" spans="11:11" x14ac:dyDescent="0.3">
      <c r="K2601" s="7"/>
    </row>
    <row r="2602" spans="11:11" x14ac:dyDescent="0.3">
      <c r="K2602" s="7"/>
    </row>
    <row r="2603" spans="11:11" x14ac:dyDescent="0.3">
      <c r="K2603" s="7"/>
    </row>
    <row r="2604" spans="11:11" x14ac:dyDescent="0.3">
      <c r="K2604" s="7"/>
    </row>
    <row r="2605" spans="11:11" x14ac:dyDescent="0.3">
      <c r="K2605" s="7"/>
    </row>
    <row r="2606" spans="11:11" x14ac:dyDescent="0.3">
      <c r="K2606" s="7"/>
    </row>
    <row r="2607" spans="11:11" x14ac:dyDescent="0.3">
      <c r="K2607" s="7"/>
    </row>
    <row r="2608" spans="11:11" x14ac:dyDescent="0.3">
      <c r="K2608" s="7"/>
    </row>
    <row r="2609" spans="11:11" x14ac:dyDescent="0.3">
      <c r="K2609" s="7"/>
    </row>
    <row r="2610" spans="11:11" x14ac:dyDescent="0.3">
      <c r="K2610" s="7"/>
    </row>
    <row r="2611" spans="11:11" x14ac:dyDescent="0.3">
      <c r="K2611" s="7"/>
    </row>
    <row r="2612" spans="11:11" x14ac:dyDescent="0.3">
      <c r="K2612" s="7"/>
    </row>
    <row r="2613" spans="11:11" x14ac:dyDescent="0.3">
      <c r="K2613" s="7"/>
    </row>
    <row r="2614" spans="11:11" x14ac:dyDescent="0.3">
      <c r="K2614" s="7"/>
    </row>
    <row r="2615" spans="11:11" x14ac:dyDescent="0.3">
      <c r="K2615" s="7"/>
    </row>
    <row r="2616" spans="11:11" x14ac:dyDescent="0.3">
      <c r="K2616" s="7"/>
    </row>
    <row r="2617" spans="11:11" x14ac:dyDescent="0.3">
      <c r="K2617" s="7"/>
    </row>
    <row r="2618" spans="11:11" x14ac:dyDescent="0.3">
      <c r="K2618" s="7"/>
    </row>
    <row r="2619" spans="11:11" x14ac:dyDescent="0.3">
      <c r="K2619" s="7"/>
    </row>
    <row r="2620" spans="11:11" x14ac:dyDescent="0.3">
      <c r="K2620" s="7"/>
    </row>
    <row r="2621" spans="11:11" x14ac:dyDescent="0.3">
      <c r="K2621" s="7"/>
    </row>
    <row r="2622" spans="11:11" x14ac:dyDescent="0.3">
      <c r="K2622" s="7"/>
    </row>
    <row r="2623" spans="11:11" x14ac:dyDescent="0.3">
      <c r="K2623" s="7"/>
    </row>
    <row r="2624" spans="11:11" x14ac:dyDescent="0.3">
      <c r="K2624" s="7"/>
    </row>
    <row r="2625" spans="11:11" x14ac:dyDescent="0.3">
      <c r="K2625" s="7"/>
    </row>
    <row r="2626" spans="11:11" x14ac:dyDescent="0.3">
      <c r="K2626" s="7"/>
    </row>
    <row r="2627" spans="11:11" x14ac:dyDescent="0.3">
      <c r="K2627" s="7"/>
    </row>
    <row r="2628" spans="11:11" x14ac:dyDescent="0.3">
      <c r="K2628" s="7"/>
    </row>
    <row r="2629" spans="11:11" x14ac:dyDescent="0.3">
      <c r="K2629" s="7"/>
    </row>
    <row r="2630" spans="11:11" x14ac:dyDescent="0.3">
      <c r="K2630" s="7"/>
    </row>
    <row r="2631" spans="11:11" x14ac:dyDescent="0.3">
      <c r="K2631" s="7"/>
    </row>
    <row r="2632" spans="11:11" x14ac:dyDescent="0.3">
      <c r="K2632" s="7"/>
    </row>
    <row r="2633" spans="11:11" x14ac:dyDescent="0.3">
      <c r="K2633" s="7"/>
    </row>
    <row r="2634" spans="11:11" x14ac:dyDescent="0.3">
      <c r="K2634" s="7"/>
    </row>
    <row r="2635" spans="11:11" x14ac:dyDescent="0.3">
      <c r="K2635" s="7"/>
    </row>
    <row r="2636" spans="11:11" x14ac:dyDescent="0.3">
      <c r="K2636" s="7"/>
    </row>
    <row r="2637" spans="11:11" x14ac:dyDescent="0.3">
      <c r="K2637" s="7"/>
    </row>
    <row r="2638" spans="11:11" x14ac:dyDescent="0.3">
      <c r="K2638" s="7"/>
    </row>
    <row r="2639" spans="11:11" x14ac:dyDescent="0.3">
      <c r="K2639" s="7"/>
    </row>
    <row r="2640" spans="11:11" x14ac:dyDescent="0.3">
      <c r="K2640" s="7"/>
    </row>
    <row r="2641" spans="11:11" x14ac:dyDescent="0.3">
      <c r="K2641" s="7"/>
    </row>
    <row r="2642" spans="11:11" x14ac:dyDescent="0.3">
      <c r="K2642" s="7"/>
    </row>
    <row r="2643" spans="11:11" x14ac:dyDescent="0.3">
      <c r="K2643" s="7"/>
    </row>
    <row r="2644" spans="11:11" x14ac:dyDescent="0.3">
      <c r="K2644" s="7"/>
    </row>
    <row r="2645" spans="11:11" x14ac:dyDescent="0.3">
      <c r="K2645" s="7"/>
    </row>
    <row r="2646" spans="11:11" x14ac:dyDescent="0.3">
      <c r="K2646" s="7"/>
    </row>
    <row r="2647" spans="11:11" x14ac:dyDescent="0.3">
      <c r="K2647" s="7"/>
    </row>
    <row r="2648" spans="11:11" x14ac:dyDescent="0.3">
      <c r="K2648" s="7"/>
    </row>
    <row r="2649" spans="11:11" x14ac:dyDescent="0.3">
      <c r="K2649" s="7"/>
    </row>
    <row r="2650" spans="11:11" x14ac:dyDescent="0.3">
      <c r="K2650" s="7"/>
    </row>
    <row r="2651" spans="11:11" x14ac:dyDescent="0.3">
      <c r="K2651" s="7"/>
    </row>
    <row r="2652" spans="11:11" x14ac:dyDescent="0.3">
      <c r="K2652" s="7"/>
    </row>
    <row r="2653" spans="11:11" x14ac:dyDescent="0.3">
      <c r="K2653" s="7"/>
    </row>
    <row r="2654" spans="11:11" x14ac:dyDescent="0.3">
      <c r="K2654" s="7"/>
    </row>
    <row r="2655" spans="11:11" x14ac:dyDescent="0.3">
      <c r="K2655" s="7"/>
    </row>
    <row r="2656" spans="11:11" x14ac:dyDescent="0.3">
      <c r="K2656" s="7"/>
    </row>
    <row r="2657" spans="11:11" x14ac:dyDescent="0.3">
      <c r="K2657" s="7"/>
    </row>
    <row r="2658" spans="11:11" x14ac:dyDescent="0.3">
      <c r="K2658" s="7"/>
    </row>
    <row r="2659" spans="11:11" x14ac:dyDescent="0.3">
      <c r="K2659" s="7"/>
    </row>
    <row r="2660" spans="11:11" x14ac:dyDescent="0.3">
      <c r="K2660" s="7"/>
    </row>
    <row r="2661" spans="11:11" x14ac:dyDescent="0.3">
      <c r="K2661" s="7"/>
    </row>
    <row r="2662" spans="11:11" x14ac:dyDescent="0.3">
      <c r="K2662" s="7"/>
    </row>
    <row r="2663" spans="11:11" x14ac:dyDescent="0.3">
      <c r="K2663" s="7"/>
    </row>
    <row r="2664" spans="11:11" x14ac:dyDescent="0.3">
      <c r="K2664" s="7"/>
    </row>
    <row r="2665" spans="11:11" x14ac:dyDescent="0.3">
      <c r="K2665" s="7"/>
    </row>
    <row r="2666" spans="11:11" x14ac:dyDescent="0.3">
      <c r="K2666" s="7"/>
    </row>
    <row r="2667" spans="11:11" x14ac:dyDescent="0.3">
      <c r="K2667" s="7"/>
    </row>
    <row r="2668" spans="11:11" x14ac:dyDescent="0.3">
      <c r="K2668" s="7"/>
    </row>
    <row r="2669" spans="11:11" x14ac:dyDescent="0.3">
      <c r="K2669" s="7"/>
    </row>
    <row r="2670" spans="11:11" x14ac:dyDescent="0.3">
      <c r="K2670" s="7"/>
    </row>
    <row r="2671" spans="11:11" x14ac:dyDescent="0.3">
      <c r="K2671" s="7"/>
    </row>
    <row r="2672" spans="11:11" x14ac:dyDescent="0.3">
      <c r="K2672" s="7"/>
    </row>
    <row r="2673" spans="11:11" x14ac:dyDescent="0.3">
      <c r="K2673" s="7"/>
    </row>
    <row r="2674" spans="11:11" x14ac:dyDescent="0.3">
      <c r="K2674" s="7"/>
    </row>
    <row r="2675" spans="11:11" x14ac:dyDescent="0.3">
      <c r="K2675" s="7"/>
    </row>
    <row r="2676" spans="11:11" x14ac:dyDescent="0.3">
      <c r="K2676" s="7"/>
    </row>
    <row r="2677" spans="11:11" x14ac:dyDescent="0.3">
      <c r="K2677" s="7"/>
    </row>
    <row r="2678" spans="11:11" x14ac:dyDescent="0.3">
      <c r="K2678" s="7"/>
    </row>
    <row r="2679" spans="11:11" x14ac:dyDescent="0.3">
      <c r="K2679" s="7"/>
    </row>
    <row r="2680" spans="11:11" x14ac:dyDescent="0.3">
      <c r="K2680" s="7"/>
    </row>
    <row r="2681" spans="11:11" x14ac:dyDescent="0.3">
      <c r="K2681" s="7"/>
    </row>
    <row r="2682" spans="11:11" x14ac:dyDescent="0.3">
      <c r="K2682" s="7"/>
    </row>
    <row r="2683" spans="11:11" x14ac:dyDescent="0.3">
      <c r="K2683" s="7"/>
    </row>
    <row r="2684" spans="11:11" x14ac:dyDescent="0.3">
      <c r="K2684" s="7"/>
    </row>
    <row r="2685" spans="11:11" x14ac:dyDescent="0.3">
      <c r="K2685" s="7"/>
    </row>
    <row r="2686" spans="11:11" x14ac:dyDescent="0.3">
      <c r="K2686" s="7"/>
    </row>
    <row r="2687" spans="11:11" x14ac:dyDescent="0.3">
      <c r="K2687" s="7"/>
    </row>
    <row r="2688" spans="11:11" x14ac:dyDescent="0.3">
      <c r="K2688" s="7"/>
    </row>
    <row r="2689" spans="11:11" x14ac:dyDescent="0.3">
      <c r="K2689" s="7"/>
    </row>
    <row r="2690" spans="11:11" x14ac:dyDescent="0.3">
      <c r="K2690" s="7"/>
    </row>
    <row r="2691" spans="11:11" x14ac:dyDescent="0.3">
      <c r="K2691" s="7"/>
    </row>
    <row r="2692" spans="11:11" x14ac:dyDescent="0.3">
      <c r="K2692" s="7"/>
    </row>
    <row r="2693" spans="11:11" x14ac:dyDescent="0.3">
      <c r="K2693" s="7"/>
    </row>
    <row r="2694" spans="11:11" x14ac:dyDescent="0.3">
      <c r="K2694" s="7"/>
    </row>
    <row r="2695" spans="11:11" x14ac:dyDescent="0.3">
      <c r="K2695" s="7"/>
    </row>
    <row r="2696" spans="11:11" x14ac:dyDescent="0.3">
      <c r="K2696" s="7"/>
    </row>
    <row r="2697" spans="11:11" x14ac:dyDescent="0.3">
      <c r="K2697" s="7"/>
    </row>
    <row r="2698" spans="11:11" x14ac:dyDescent="0.3">
      <c r="K2698" s="7"/>
    </row>
    <row r="2699" spans="11:11" x14ac:dyDescent="0.3">
      <c r="K2699" s="7"/>
    </row>
    <row r="2700" spans="11:11" x14ac:dyDescent="0.3">
      <c r="K2700" s="7"/>
    </row>
    <row r="2701" spans="11:11" x14ac:dyDescent="0.3">
      <c r="K2701" s="7"/>
    </row>
    <row r="2702" spans="11:11" x14ac:dyDescent="0.3">
      <c r="K2702" s="7"/>
    </row>
    <row r="2703" spans="11:11" x14ac:dyDescent="0.3">
      <c r="K2703" s="7"/>
    </row>
    <row r="2704" spans="11:11" x14ac:dyDescent="0.3">
      <c r="K2704" s="7"/>
    </row>
    <row r="2705" spans="11:11" x14ac:dyDescent="0.3">
      <c r="K2705" s="7"/>
    </row>
    <row r="2706" spans="11:11" x14ac:dyDescent="0.3">
      <c r="K2706" s="7"/>
    </row>
    <row r="2707" spans="11:11" x14ac:dyDescent="0.3">
      <c r="K2707" s="7"/>
    </row>
    <row r="2708" spans="11:11" x14ac:dyDescent="0.3">
      <c r="K2708" s="7"/>
    </row>
    <row r="2709" spans="11:11" x14ac:dyDescent="0.3">
      <c r="K2709" s="7"/>
    </row>
    <row r="2710" spans="11:11" x14ac:dyDescent="0.3">
      <c r="K2710" s="7"/>
    </row>
    <row r="2711" spans="11:11" x14ac:dyDescent="0.3">
      <c r="K2711" s="7"/>
    </row>
    <row r="2712" spans="11:11" x14ac:dyDescent="0.3">
      <c r="K2712" s="7"/>
    </row>
    <row r="2713" spans="11:11" x14ac:dyDescent="0.3">
      <c r="K2713" s="7"/>
    </row>
    <row r="2714" spans="11:11" x14ac:dyDescent="0.3">
      <c r="K2714" s="7"/>
    </row>
    <row r="2715" spans="11:11" x14ac:dyDescent="0.3">
      <c r="K2715" s="7"/>
    </row>
    <row r="2716" spans="11:11" x14ac:dyDescent="0.3">
      <c r="K2716" s="7"/>
    </row>
    <row r="2717" spans="11:11" x14ac:dyDescent="0.3">
      <c r="K2717" s="7"/>
    </row>
    <row r="2718" spans="11:11" x14ac:dyDescent="0.3">
      <c r="K2718" s="7"/>
    </row>
    <row r="2719" spans="11:11" x14ac:dyDescent="0.3">
      <c r="K2719" s="7"/>
    </row>
    <row r="2720" spans="11:11" x14ac:dyDescent="0.3">
      <c r="K2720" s="7"/>
    </row>
    <row r="2721" spans="11:11" x14ac:dyDescent="0.3">
      <c r="K2721" s="7"/>
    </row>
    <row r="2722" spans="11:11" x14ac:dyDescent="0.3">
      <c r="K2722" s="7"/>
    </row>
    <row r="2723" spans="11:11" x14ac:dyDescent="0.3">
      <c r="K2723" s="7"/>
    </row>
    <row r="2724" spans="11:11" x14ac:dyDescent="0.3">
      <c r="K2724" s="7"/>
    </row>
    <row r="2725" spans="11:11" x14ac:dyDescent="0.3">
      <c r="K2725" s="7"/>
    </row>
    <row r="2726" spans="11:11" x14ac:dyDescent="0.3">
      <c r="K2726" s="7"/>
    </row>
    <row r="2727" spans="11:11" x14ac:dyDescent="0.3">
      <c r="K2727" s="7"/>
    </row>
    <row r="2728" spans="11:11" x14ac:dyDescent="0.3">
      <c r="K2728" s="7"/>
    </row>
    <row r="2729" spans="11:11" x14ac:dyDescent="0.3">
      <c r="K2729" s="7"/>
    </row>
    <row r="2730" spans="11:11" x14ac:dyDescent="0.3">
      <c r="K2730" s="7"/>
    </row>
    <row r="2731" spans="11:11" x14ac:dyDescent="0.3">
      <c r="K2731" s="7"/>
    </row>
    <row r="2732" spans="11:11" x14ac:dyDescent="0.3">
      <c r="K2732" s="7"/>
    </row>
    <row r="2733" spans="11:11" x14ac:dyDescent="0.3">
      <c r="K2733" s="7"/>
    </row>
    <row r="2734" spans="11:11" x14ac:dyDescent="0.3">
      <c r="K2734" s="7"/>
    </row>
    <row r="2735" spans="11:11" x14ac:dyDescent="0.3">
      <c r="K2735" s="7"/>
    </row>
    <row r="2736" spans="11:11" x14ac:dyDescent="0.3">
      <c r="K2736" s="7"/>
    </row>
    <row r="2737" spans="11:11" x14ac:dyDescent="0.3">
      <c r="K2737" s="7"/>
    </row>
    <row r="2738" spans="11:11" x14ac:dyDescent="0.3">
      <c r="K2738" s="7"/>
    </row>
    <row r="2739" spans="11:11" x14ac:dyDescent="0.3">
      <c r="K2739" s="7"/>
    </row>
    <row r="2740" spans="11:11" x14ac:dyDescent="0.3">
      <c r="K2740" s="7"/>
    </row>
    <row r="2741" spans="11:11" x14ac:dyDescent="0.3">
      <c r="K2741" s="7"/>
    </row>
    <row r="2742" spans="11:11" x14ac:dyDescent="0.3">
      <c r="K2742" s="7"/>
    </row>
    <row r="2743" spans="11:11" x14ac:dyDescent="0.3">
      <c r="K2743" s="7"/>
    </row>
    <row r="2744" spans="11:11" x14ac:dyDescent="0.3">
      <c r="K2744" s="7"/>
    </row>
    <row r="2745" spans="11:11" x14ac:dyDescent="0.3">
      <c r="K2745" s="7"/>
    </row>
    <row r="2746" spans="11:11" x14ac:dyDescent="0.3">
      <c r="K2746" s="7"/>
    </row>
    <row r="2747" spans="11:11" x14ac:dyDescent="0.3">
      <c r="K2747" s="7"/>
    </row>
    <row r="2748" spans="11:11" x14ac:dyDescent="0.3">
      <c r="K2748" s="7"/>
    </row>
    <row r="2749" spans="11:11" x14ac:dyDescent="0.3">
      <c r="K2749" s="7"/>
    </row>
    <row r="2750" spans="11:11" x14ac:dyDescent="0.3">
      <c r="K2750" s="7"/>
    </row>
    <row r="2751" spans="11:11" x14ac:dyDescent="0.3">
      <c r="K2751" s="7"/>
    </row>
    <row r="2752" spans="11:11" x14ac:dyDescent="0.3">
      <c r="K2752" s="7"/>
    </row>
    <row r="2753" spans="11:11" x14ac:dyDescent="0.3">
      <c r="K2753" s="7"/>
    </row>
    <row r="2754" spans="11:11" x14ac:dyDescent="0.3">
      <c r="K2754" s="7"/>
    </row>
    <row r="2755" spans="11:11" x14ac:dyDescent="0.3">
      <c r="K2755" s="7"/>
    </row>
    <row r="2756" spans="11:11" x14ac:dyDescent="0.3">
      <c r="K2756" s="7"/>
    </row>
    <row r="2757" spans="11:11" x14ac:dyDescent="0.3">
      <c r="K2757" s="7"/>
    </row>
    <row r="2758" spans="11:11" x14ac:dyDescent="0.3">
      <c r="K2758" s="7"/>
    </row>
    <row r="2759" spans="11:11" x14ac:dyDescent="0.3">
      <c r="K2759" s="7"/>
    </row>
    <row r="2760" spans="11:11" x14ac:dyDescent="0.3">
      <c r="K2760" s="7"/>
    </row>
    <row r="2761" spans="11:11" x14ac:dyDescent="0.3">
      <c r="K2761" s="7"/>
    </row>
    <row r="2762" spans="11:11" x14ac:dyDescent="0.3">
      <c r="K2762" s="7"/>
    </row>
    <row r="2763" spans="11:11" x14ac:dyDescent="0.3">
      <c r="K2763" s="7"/>
    </row>
    <row r="2764" spans="11:11" x14ac:dyDescent="0.3">
      <c r="K2764" s="7"/>
    </row>
    <row r="2765" spans="11:11" x14ac:dyDescent="0.3">
      <c r="K2765" s="7"/>
    </row>
    <row r="2766" spans="11:11" x14ac:dyDescent="0.3">
      <c r="K2766" s="7"/>
    </row>
    <row r="2767" spans="11:11" x14ac:dyDescent="0.3">
      <c r="K2767" s="7"/>
    </row>
    <row r="2768" spans="11:11" x14ac:dyDescent="0.3">
      <c r="K2768" s="7"/>
    </row>
    <row r="2769" spans="11:11" x14ac:dyDescent="0.3">
      <c r="K2769" s="7"/>
    </row>
    <row r="2770" spans="11:11" x14ac:dyDescent="0.3">
      <c r="K2770" s="7"/>
    </row>
    <row r="2771" spans="11:11" x14ac:dyDescent="0.3">
      <c r="K2771" s="7"/>
    </row>
    <row r="2772" spans="11:11" x14ac:dyDescent="0.3">
      <c r="K2772" s="7"/>
    </row>
    <row r="2773" spans="11:11" x14ac:dyDescent="0.3">
      <c r="K2773" s="7"/>
    </row>
    <row r="2774" spans="11:11" x14ac:dyDescent="0.3">
      <c r="K2774" s="7"/>
    </row>
    <row r="2775" spans="11:11" x14ac:dyDescent="0.3">
      <c r="K2775" s="7"/>
    </row>
    <row r="2776" spans="11:11" x14ac:dyDescent="0.3">
      <c r="K2776" s="7"/>
    </row>
    <row r="2777" spans="11:11" x14ac:dyDescent="0.3">
      <c r="K2777" s="7"/>
    </row>
    <row r="2778" spans="11:11" x14ac:dyDescent="0.3">
      <c r="K2778" s="7"/>
    </row>
    <row r="2779" spans="11:11" x14ac:dyDescent="0.3">
      <c r="K2779" s="7"/>
    </row>
    <row r="2780" spans="11:11" x14ac:dyDescent="0.3">
      <c r="K2780" s="7"/>
    </row>
    <row r="2781" spans="11:11" x14ac:dyDescent="0.3">
      <c r="K2781" s="7"/>
    </row>
    <row r="2782" spans="11:11" x14ac:dyDescent="0.3">
      <c r="K2782" s="7"/>
    </row>
    <row r="2783" spans="11:11" x14ac:dyDescent="0.3">
      <c r="K2783" s="7"/>
    </row>
    <row r="2784" spans="11:11" x14ac:dyDescent="0.3">
      <c r="K2784" s="7"/>
    </row>
    <row r="2785" spans="11:11" x14ac:dyDescent="0.3">
      <c r="K2785" s="7"/>
    </row>
    <row r="2786" spans="11:11" x14ac:dyDescent="0.3">
      <c r="K2786" s="7"/>
    </row>
    <row r="2787" spans="11:11" x14ac:dyDescent="0.3">
      <c r="K2787" s="7"/>
    </row>
    <row r="2788" spans="11:11" x14ac:dyDescent="0.3">
      <c r="K2788" s="7"/>
    </row>
    <row r="2789" spans="11:11" x14ac:dyDescent="0.3">
      <c r="K2789" s="7"/>
    </row>
    <row r="2790" spans="11:11" x14ac:dyDescent="0.3">
      <c r="K2790" s="7"/>
    </row>
    <row r="2791" spans="11:11" x14ac:dyDescent="0.3">
      <c r="K2791" s="7"/>
    </row>
    <row r="2792" spans="11:11" x14ac:dyDescent="0.3">
      <c r="K2792" s="7"/>
    </row>
    <row r="2793" spans="11:11" x14ac:dyDescent="0.3">
      <c r="K2793" s="7"/>
    </row>
    <row r="2794" spans="11:11" x14ac:dyDescent="0.3">
      <c r="K2794" s="7"/>
    </row>
    <row r="2795" spans="11:11" x14ac:dyDescent="0.3">
      <c r="K2795" s="7"/>
    </row>
    <row r="2796" spans="11:11" x14ac:dyDescent="0.3">
      <c r="K2796" s="7"/>
    </row>
    <row r="2797" spans="11:11" x14ac:dyDescent="0.3">
      <c r="K2797" s="7"/>
    </row>
    <row r="2798" spans="11:11" x14ac:dyDescent="0.3">
      <c r="K2798" s="7"/>
    </row>
    <row r="2799" spans="11:11" x14ac:dyDescent="0.3">
      <c r="K2799" s="7"/>
    </row>
    <row r="2800" spans="11:11" x14ac:dyDescent="0.3">
      <c r="K2800" s="7"/>
    </row>
    <row r="2801" spans="11:11" x14ac:dyDescent="0.3">
      <c r="K2801" s="7"/>
    </row>
    <row r="2802" spans="11:11" x14ac:dyDescent="0.3">
      <c r="K2802" s="7"/>
    </row>
    <row r="2803" spans="11:11" x14ac:dyDescent="0.3">
      <c r="K2803" s="7"/>
    </row>
    <row r="2804" spans="11:11" x14ac:dyDescent="0.3">
      <c r="K2804" s="7"/>
    </row>
    <row r="2805" spans="11:11" x14ac:dyDescent="0.3">
      <c r="K2805" s="7"/>
    </row>
    <row r="2806" spans="11:11" x14ac:dyDescent="0.3">
      <c r="K2806" s="7"/>
    </row>
    <row r="2807" spans="11:11" x14ac:dyDescent="0.3">
      <c r="K2807" s="7"/>
    </row>
    <row r="2808" spans="11:11" x14ac:dyDescent="0.3">
      <c r="K2808" s="7"/>
    </row>
    <row r="2809" spans="11:11" x14ac:dyDescent="0.3">
      <c r="K2809" s="7"/>
    </row>
    <row r="2810" spans="11:11" x14ac:dyDescent="0.3">
      <c r="K2810" s="7"/>
    </row>
    <row r="2811" spans="11:11" x14ac:dyDescent="0.3">
      <c r="K2811" s="7"/>
    </row>
    <row r="2812" spans="11:11" x14ac:dyDescent="0.3">
      <c r="K2812" s="7"/>
    </row>
    <row r="2813" spans="11:11" x14ac:dyDescent="0.3">
      <c r="K2813" s="7"/>
    </row>
    <row r="2814" spans="11:11" x14ac:dyDescent="0.3">
      <c r="K2814" s="7"/>
    </row>
    <row r="2815" spans="11:11" x14ac:dyDescent="0.3">
      <c r="K2815" s="7"/>
    </row>
    <row r="2816" spans="11:11" x14ac:dyDescent="0.3">
      <c r="K2816" s="7"/>
    </row>
    <row r="2817" spans="11:11" x14ac:dyDescent="0.3">
      <c r="K2817" s="7"/>
    </row>
    <row r="2818" spans="11:11" x14ac:dyDescent="0.3">
      <c r="K2818" s="7"/>
    </row>
    <row r="2819" spans="11:11" x14ac:dyDescent="0.3">
      <c r="K2819" s="7"/>
    </row>
    <row r="2820" spans="11:11" x14ac:dyDescent="0.3">
      <c r="K2820" s="7"/>
    </row>
    <row r="2821" spans="11:11" x14ac:dyDescent="0.3">
      <c r="K2821" s="7"/>
    </row>
    <row r="2822" spans="11:11" x14ac:dyDescent="0.3">
      <c r="K2822" s="7"/>
    </row>
    <row r="2823" spans="11:11" x14ac:dyDescent="0.3">
      <c r="K2823" s="7"/>
    </row>
    <row r="2824" spans="11:11" x14ac:dyDescent="0.3">
      <c r="K2824" s="7"/>
    </row>
    <row r="2825" spans="11:11" x14ac:dyDescent="0.3">
      <c r="K2825" s="7"/>
    </row>
    <row r="2826" spans="11:11" x14ac:dyDescent="0.3">
      <c r="K2826" s="7"/>
    </row>
    <row r="2827" spans="11:11" x14ac:dyDescent="0.3">
      <c r="K2827" s="7"/>
    </row>
    <row r="2828" spans="11:11" x14ac:dyDescent="0.3">
      <c r="K2828" s="7"/>
    </row>
    <row r="2829" spans="11:11" x14ac:dyDescent="0.3">
      <c r="K2829" s="7"/>
    </row>
    <row r="2830" spans="11:11" x14ac:dyDescent="0.3">
      <c r="K2830" s="7"/>
    </row>
    <row r="2831" spans="11:11" x14ac:dyDescent="0.3">
      <c r="K2831" s="7"/>
    </row>
    <row r="2832" spans="11:11" x14ac:dyDescent="0.3">
      <c r="K2832" s="7"/>
    </row>
    <row r="2833" spans="11:11" x14ac:dyDescent="0.3">
      <c r="K2833" s="7"/>
    </row>
    <row r="2834" spans="11:11" x14ac:dyDescent="0.3">
      <c r="K2834" s="7"/>
    </row>
    <row r="2835" spans="11:11" x14ac:dyDescent="0.3">
      <c r="K2835" s="7"/>
    </row>
    <row r="2836" spans="11:11" x14ac:dyDescent="0.3">
      <c r="K2836" s="7"/>
    </row>
    <row r="2837" spans="11:11" x14ac:dyDescent="0.3">
      <c r="K2837" s="7"/>
    </row>
    <row r="2838" spans="11:11" x14ac:dyDescent="0.3">
      <c r="K2838" s="7"/>
    </row>
    <row r="2839" spans="11:11" x14ac:dyDescent="0.3">
      <c r="K2839" s="7"/>
    </row>
    <row r="2840" spans="11:11" x14ac:dyDescent="0.3">
      <c r="K2840" s="7"/>
    </row>
    <row r="2841" spans="11:11" x14ac:dyDescent="0.3">
      <c r="K2841" s="7"/>
    </row>
    <row r="2842" spans="11:11" x14ac:dyDescent="0.3">
      <c r="K2842" s="7"/>
    </row>
    <row r="2843" spans="11:11" x14ac:dyDescent="0.3">
      <c r="K2843" s="7"/>
    </row>
    <row r="2844" spans="11:11" x14ac:dyDescent="0.3">
      <c r="K2844" s="7"/>
    </row>
    <row r="2845" spans="11:11" x14ac:dyDescent="0.3">
      <c r="K2845" s="7"/>
    </row>
    <row r="2846" spans="11:11" x14ac:dyDescent="0.3">
      <c r="K2846" s="7"/>
    </row>
    <row r="2847" spans="11:11" x14ac:dyDescent="0.3">
      <c r="K2847" s="7"/>
    </row>
    <row r="2848" spans="11:11" x14ac:dyDescent="0.3">
      <c r="K2848" s="7"/>
    </row>
    <row r="2849" spans="11:11" x14ac:dyDescent="0.3">
      <c r="K2849" s="7"/>
    </row>
    <row r="2850" spans="11:11" x14ac:dyDescent="0.3">
      <c r="K2850" s="7"/>
    </row>
    <row r="2851" spans="11:11" x14ac:dyDescent="0.3">
      <c r="K2851" s="7"/>
    </row>
    <row r="2852" spans="11:11" x14ac:dyDescent="0.3">
      <c r="K2852" s="7"/>
    </row>
    <row r="2853" spans="11:11" x14ac:dyDescent="0.3">
      <c r="K2853" s="7"/>
    </row>
    <row r="2854" spans="11:11" x14ac:dyDescent="0.3">
      <c r="K2854" s="7"/>
    </row>
    <row r="2855" spans="11:11" x14ac:dyDescent="0.3">
      <c r="K2855" s="7"/>
    </row>
    <row r="2856" spans="11:11" x14ac:dyDescent="0.3">
      <c r="K2856" s="7"/>
    </row>
    <row r="2857" spans="11:11" x14ac:dyDescent="0.3">
      <c r="K2857" s="7"/>
    </row>
    <row r="2858" spans="11:11" x14ac:dyDescent="0.3">
      <c r="K2858" s="7"/>
    </row>
    <row r="2859" spans="11:11" x14ac:dyDescent="0.3">
      <c r="K2859" s="7"/>
    </row>
    <row r="2860" spans="11:11" x14ac:dyDescent="0.3">
      <c r="K2860" s="7"/>
    </row>
    <row r="2861" spans="11:11" x14ac:dyDescent="0.3">
      <c r="K2861" s="7"/>
    </row>
    <row r="2862" spans="11:11" x14ac:dyDescent="0.3">
      <c r="K2862" s="7"/>
    </row>
    <row r="2863" spans="11:11" x14ac:dyDescent="0.3">
      <c r="K2863" s="7"/>
    </row>
    <row r="2864" spans="11:11" x14ac:dyDescent="0.3">
      <c r="K2864" s="7"/>
    </row>
    <row r="2865" spans="11:11" x14ac:dyDescent="0.3">
      <c r="K2865" s="7"/>
    </row>
    <row r="2866" spans="11:11" x14ac:dyDescent="0.3">
      <c r="K2866" s="7"/>
    </row>
    <row r="2867" spans="11:11" x14ac:dyDescent="0.3">
      <c r="K2867" s="7"/>
    </row>
    <row r="2868" spans="11:11" x14ac:dyDescent="0.3">
      <c r="K2868" s="7"/>
    </row>
    <row r="2869" spans="11:11" x14ac:dyDescent="0.3">
      <c r="K2869" s="7"/>
    </row>
    <row r="2870" spans="11:11" x14ac:dyDescent="0.3">
      <c r="K2870" s="7"/>
    </row>
    <row r="2871" spans="11:11" x14ac:dyDescent="0.3">
      <c r="K2871" s="7"/>
    </row>
    <row r="2872" spans="11:11" x14ac:dyDescent="0.3">
      <c r="K2872" s="7"/>
    </row>
    <row r="2873" spans="11:11" x14ac:dyDescent="0.3">
      <c r="K2873" s="7"/>
    </row>
    <row r="2874" spans="11:11" x14ac:dyDescent="0.3">
      <c r="K2874" s="7"/>
    </row>
    <row r="2875" spans="11:11" x14ac:dyDescent="0.3">
      <c r="K2875" s="7"/>
    </row>
    <row r="2876" spans="11:11" x14ac:dyDescent="0.3">
      <c r="K2876" s="7"/>
    </row>
    <row r="2877" spans="11:11" x14ac:dyDescent="0.3">
      <c r="K2877" s="7"/>
    </row>
    <row r="2878" spans="11:11" x14ac:dyDescent="0.3">
      <c r="K2878" s="7"/>
    </row>
    <row r="2879" spans="11:11" x14ac:dyDescent="0.3">
      <c r="K2879" s="7"/>
    </row>
    <row r="2880" spans="11:11" x14ac:dyDescent="0.3">
      <c r="K2880" s="7"/>
    </row>
    <row r="2881" spans="11:11" x14ac:dyDescent="0.3">
      <c r="K2881" s="7"/>
    </row>
    <row r="2882" spans="11:11" x14ac:dyDescent="0.3">
      <c r="K2882" s="7"/>
    </row>
    <row r="2883" spans="11:11" x14ac:dyDescent="0.3">
      <c r="K2883" s="7"/>
    </row>
    <row r="2884" spans="11:11" x14ac:dyDescent="0.3">
      <c r="K2884" s="7"/>
    </row>
    <row r="2885" spans="11:11" x14ac:dyDescent="0.3">
      <c r="K2885" s="7"/>
    </row>
    <row r="2886" spans="11:11" x14ac:dyDescent="0.3">
      <c r="K2886" s="7"/>
    </row>
    <row r="2887" spans="11:11" x14ac:dyDescent="0.3">
      <c r="K2887" s="7"/>
    </row>
    <row r="2888" spans="11:11" x14ac:dyDescent="0.3">
      <c r="K2888" s="7"/>
    </row>
    <row r="2889" spans="11:11" x14ac:dyDescent="0.3">
      <c r="K2889" s="7"/>
    </row>
    <row r="2890" spans="11:11" x14ac:dyDescent="0.3">
      <c r="K2890" s="7"/>
    </row>
    <row r="2891" spans="11:11" x14ac:dyDescent="0.3">
      <c r="K2891" s="7"/>
    </row>
    <row r="2892" spans="11:11" x14ac:dyDescent="0.3">
      <c r="K2892" s="7"/>
    </row>
    <row r="2893" spans="11:11" x14ac:dyDescent="0.3">
      <c r="K2893" s="7"/>
    </row>
    <row r="2894" spans="11:11" x14ac:dyDescent="0.3">
      <c r="K2894" s="7"/>
    </row>
    <row r="2895" spans="11:11" x14ac:dyDescent="0.3">
      <c r="K2895" s="7"/>
    </row>
    <row r="2896" spans="11:11" x14ac:dyDescent="0.3">
      <c r="K2896" s="7"/>
    </row>
    <row r="2897" spans="11:11" x14ac:dyDescent="0.3">
      <c r="K2897" s="7"/>
    </row>
    <row r="2898" spans="11:11" x14ac:dyDescent="0.3">
      <c r="K2898" s="7"/>
    </row>
    <row r="2899" spans="11:11" x14ac:dyDescent="0.3">
      <c r="K2899" s="7"/>
    </row>
    <row r="2900" spans="11:11" x14ac:dyDescent="0.3">
      <c r="K2900" s="7"/>
    </row>
    <row r="2901" spans="11:11" x14ac:dyDescent="0.3">
      <c r="K2901" s="7"/>
    </row>
    <row r="2902" spans="11:11" x14ac:dyDescent="0.3">
      <c r="K2902" s="7"/>
    </row>
    <row r="2903" spans="11:11" x14ac:dyDescent="0.3">
      <c r="K2903" s="7"/>
    </row>
    <row r="2904" spans="11:11" x14ac:dyDescent="0.3">
      <c r="K2904" s="7"/>
    </row>
    <row r="2905" spans="11:11" x14ac:dyDescent="0.3">
      <c r="K2905" s="7"/>
    </row>
    <row r="2906" spans="11:11" x14ac:dyDescent="0.3">
      <c r="K2906" s="7"/>
    </row>
    <row r="2907" spans="11:11" x14ac:dyDescent="0.3">
      <c r="K2907" s="7"/>
    </row>
    <row r="2908" spans="11:11" x14ac:dyDescent="0.3">
      <c r="K2908" s="7"/>
    </row>
    <row r="2909" spans="11:11" x14ac:dyDescent="0.3">
      <c r="K2909" s="7"/>
    </row>
    <row r="2910" spans="11:11" x14ac:dyDescent="0.3">
      <c r="K2910" s="7"/>
    </row>
    <row r="2911" spans="11:11" x14ac:dyDescent="0.3">
      <c r="K2911" s="7"/>
    </row>
    <row r="2912" spans="11:11" x14ac:dyDescent="0.3">
      <c r="K2912" s="7"/>
    </row>
    <row r="2913" spans="11:11" x14ac:dyDescent="0.3">
      <c r="K2913" s="7"/>
    </row>
    <row r="2914" spans="11:11" x14ac:dyDescent="0.3">
      <c r="K2914" s="7"/>
    </row>
    <row r="2915" spans="11:11" x14ac:dyDescent="0.3">
      <c r="K2915" s="7"/>
    </row>
    <row r="2916" spans="11:11" x14ac:dyDescent="0.3">
      <c r="K2916" s="7"/>
    </row>
    <row r="2917" spans="11:11" x14ac:dyDescent="0.3">
      <c r="K2917" s="7"/>
    </row>
    <row r="2918" spans="11:11" x14ac:dyDescent="0.3">
      <c r="K2918" s="7"/>
    </row>
    <row r="2919" spans="11:11" x14ac:dyDescent="0.3">
      <c r="K2919" s="7"/>
    </row>
    <row r="2920" spans="11:11" x14ac:dyDescent="0.3">
      <c r="K2920" s="7"/>
    </row>
    <row r="2921" spans="11:11" x14ac:dyDescent="0.3">
      <c r="K2921" s="7"/>
    </row>
    <row r="2922" spans="11:11" x14ac:dyDescent="0.3">
      <c r="K2922" s="7"/>
    </row>
    <row r="2923" spans="11:11" x14ac:dyDescent="0.3">
      <c r="K2923" s="7"/>
    </row>
    <row r="2924" spans="11:11" x14ac:dyDescent="0.3">
      <c r="K2924" s="7"/>
    </row>
    <row r="2925" spans="11:11" x14ac:dyDescent="0.3">
      <c r="K2925" s="7"/>
    </row>
    <row r="2926" spans="11:11" x14ac:dyDescent="0.3">
      <c r="K2926" s="7"/>
    </row>
    <row r="2927" spans="11:11" x14ac:dyDescent="0.3">
      <c r="K2927" s="7"/>
    </row>
    <row r="2928" spans="11:11" x14ac:dyDescent="0.3">
      <c r="K2928" s="7"/>
    </row>
    <row r="2929" spans="11:11" x14ac:dyDescent="0.3">
      <c r="K2929" s="7"/>
    </row>
    <row r="2930" spans="11:11" x14ac:dyDescent="0.3">
      <c r="K2930" s="7"/>
    </row>
    <row r="2931" spans="11:11" x14ac:dyDescent="0.3">
      <c r="K2931" s="7"/>
    </row>
    <row r="2932" spans="11:11" x14ac:dyDescent="0.3">
      <c r="K2932" s="7"/>
    </row>
    <row r="2933" spans="11:11" x14ac:dyDescent="0.3">
      <c r="K2933" s="7"/>
    </row>
    <row r="2934" spans="11:11" x14ac:dyDescent="0.3">
      <c r="K2934" s="7"/>
    </row>
    <row r="2935" spans="11:11" x14ac:dyDescent="0.3">
      <c r="K2935" s="7"/>
    </row>
    <row r="2936" spans="11:11" x14ac:dyDescent="0.3">
      <c r="K2936" s="7"/>
    </row>
    <row r="2937" spans="11:11" x14ac:dyDescent="0.3">
      <c r="K2937" s="7"/>
    </row>
    <row r="2938" spans="11:11" x14ac:dyDescent="0.3">
      <c r="K2938" s="7"/>
    </row>
    <row r="2939" spans="11:11" x14ac:dyDescent="0.3">
      <c r="K2939" s="7"/>
    </row>
    <row r="2940" spans="11:11" x14ac:dyDescent="0.3">
      <c r="K2940" s="7"/>
    </row>
    <row r="2941" spans="11:11" x14ac:dyDescent="0.3">
      <c r="K2941" s="7"/>
    </row>
    <row r="2942" spans="11:11" x14ac:dyDescent="0.3">
      <c r="K2942" s="7"/>
    </row>
    <row r="2943" spans="11:11" x14ac:dyDescent="0.3">
      <c r="K2943" s="7"/>
    </row>
    <row r="2944" spans="11:11" x14ac:dyDescent="0.3">
      <c r="K2944" s="7"/>
    </row>
    <row r="2945" spans="11:11" x14ac:dyDescent="0.3">
      <c r="K2945" s="7"/>
    </row>
    <row r="2946" spans="11:11" x14ac:dyDescent="0.3">
      <c r="K2946" s="7"/>
    </row>
    <row r="2947" spans="11:11" x14ac:dyDescent="0.3">
      <c r="K2947" s="7"/>
    </row>
    <row r="2948" spans="11:11" x14ac:dyDescent="0.3">
      <c r="K2948" s="7"/>
    </row>
    <row r="2949" spans="11:11" x14ac:dyDescent="0.3">
      <c r="K2949" s="7"/>
    </row>
    <row r="2950" spans="11:11" x14ac:dyDescent="0.3">
      <c r="K2950" s="7"/>
    </row>
    <row r="2951" spans="11:11" x14ac:dyDescent="0.3">
      <c r="K2951" s="7"/>
    </row>
    <row r="2952" spans="11:11" x14ac:dyDescent="0.3">
      <c r="K2952" s="7"/>
    </row>
    <row r="2953" spans="11:11" x14ac:dyDescent="0.3">
      <c r="K2953" s="7"/>
    </row>
    <row r="2954" spans="11:11" x14ac:dyDescent="0.3">
      <c r="K2954" s="7"/>
    </row>
    <row r="2955" spans="11:11" x14ac:dyDescent="0.3">
      <c r="K2955" s="7"/>
    </row>
    <row r="2956" spans="11:11" x14ac:dyDescent="0.3">
      <c r="K2956" s="7"/>
    </row>
    <row r="2957" spans="11:11" x14ac:dyDescent="0.3">
      <c r="K2957" s="7"/>
    </row>
    <row r="2958" spans="11:11" x14ac:dyDescent="0.3">
      <c r="K2958" s="7"/>
    </row>
    <row r="2959" spans="11:11" x14ac:dyDescent="0.3">
      <c r="K2959" s="7"/>
    </row>
    <row r="2960" spans="11:11" x14ac:dyDescent="0.3">
      <c r="K2960" s="7"/>
    </row>
    <row r="2961" spans="11:11" x14ac:dyDescent="0.3">
      <c r="K2961" s="7"/>
    </row>
    <row r="2962" spans="11:11" x14ac:dyDescent="0.3">
      <c r="K2962" s="7"/>
    </row>
    <row r="2963" spans="11:11" x14ac:dyDescent="0.3">
      <c r="K2963" s="7"/>
    </row>
    <row r="2964" spans="11:11" x14ac:dyDescent="0.3">
      <c r="K2964" s="7"/>
    </row>
    <row r="2965" spans="11:11" x14ac:dyDescent="0.3">
      <c r="K2965" s="7"/>
    </row>
    <row r="2966" spans="11:11" x14ac:dyDescent="0.3">
      <c r="K2966" s="7"/>
    </row>
    <row r="2967" spans="11:11" x14ac:dyDescent="0.3">
      <c r="K2967" s="7"/>
    </row>
    <row r="2968" spans="11:11" x14ac:dyDescent="0.3">
      <c r="K2968" s="7"/>
    </row>
    <row r="2969" spans="11:11" x14ac:dyDescent="0.3">
      <c r="K2969" s="7"/>
    </row>
    <row r="2970" spans="11:11" x14ac:dyDescent="0.3">
      <c r="K2970" s="7"/>
    </row>
    <row r="2971" spans="11:11" x14ac:dyDescent="0.3">
      <c r="K2971" s="7"/>
    </row>
    <row r="2972" spans="11:11" x14ac:dyDescent="0.3">
      <c r="K2972" s="7"/>
    </row>
    <row r="2973" spans="11:11" x14ac:dyDescent="0.3">
      <c r="K2973" s="7"/>
    </row>
    <row r="2974" spans="11:11" x14ac:dyDescent="0.3">
      <c r="K2974" s="7"/>
    </row>
    <row r="2975" spans="11:11" x14ac:dyDescent="0.3">
      <c r="K2975" s="7"/>
    </row>
    <row r="2976" spans="11:11" x14ac:dyDescent="0.3">
      <c r="K2976" s="7"/>
    </row>
    <row r="2977" spans="11:11" x14ac:dyDescent="0.3">
      <c r="K2977" s="7"/>
    </row>
    <row r="2978" spans="11:11" x14ac:dyDescent="0.3">
      <c r="K2978" s="7"/>
    </row>
    <row r="2979" spans="11:11" x14ac:dyDescent="0.3">
      <c r="K2979" s="7"/>
    </row>
    <row r="2980" spans="11:11" x14ac:dyDescent="0.3">
      <c r="K2980" s="7"/>
    </row>
    <row r="2981" spans="11:11" x14ac:dyDescent="0.3">
      <c r="K2981" s="7"/>
    </row>
    <row r="2982" spans="11:11" x14ac:dyDescent="0.3">
      <c r="K2982" s="7"/>
    </row>
    <row r="2983" spans="11:11" x14ac:dyDescent="0.3">
      <c r="K2983" s="7"/>
    </row>
    <row r="2984" spans="11:11" x14ac:dyDescent="0.3">
      <c r="K2984" s="7"/>
    </row>
    <row r="2985" spans="11:11" x14ac:dyDescent="0.3">
      <c r="K2985" s="7"/>
    </row>
    <row r="2986" spans="11:11" x14ac:dyDescent="0.3">
      <c r="K2986" s="7"/>
    </row>
    <row r="2987" spans="11:11" x14ac:dyDescent="0.3">
      <c r="K2987" s="7"/>
    </row>
    <row r="2988" spans="11:11" x14ac:dyDescent="0.3">
      <c r="K2988" s="7"/>
    </row>
    <row r="2989" spans="11:11" x14ac:dyDescent="0.3">
      <c r="K2989" s="7"/>
    </row>
    <row r="2990" spans="11:11" x14ac:dyDescent="0.3">
      <c r="K2990" s="7"/>
    </row>
    <row r="2991" spans="11:11" x14ac:dyDescent="0.3">
      <c r="K2991" s="7"/>
    </row>
    <row r="2992" spans="11:11" x14ac:dyDescent="0.3">
      <c r="K2992" s="7"/>
    </row>
    <row r="2993" spans="11:11" x14ac:dyDescent="0.3">
      <c r="K2993" s="7"/>
    </row>
    <row r="2994" spans="11:11" x14ac:dyDescent="0.3">
      <c r="K2994" s="7"/>
    </row>
    <row r="2995" spans="11:11" x14ac:dyDescent="0.3">
      <c r="K2995" s="7"/>
    </row>
    <row r="2996" spans="11:11" x14ac:dyDescent="0.3">
      <c r="K2996" s="7"/>
    </row>
    <row r="2997" spans="11:11" x14ac:dyDescent="0.3">
      <c r="K2997" s="7"/>
    </row>
    <row r="2998" spans="11:11" x14ac:dyDescent="0.3">
      <c r="K2998" s="7"/>
    </row>
    <row r="2999" spans="11:11" x14ac:dyDescent="0.3">
      <c r="K2999" s="7"/>
    </row>
    <row r="3000" spans="11:11" x14ac:dyDescent="0.3">
      <c r="K3000" s="7"/>
    </row>
    <row r="3001" spans="11:11" x14ac:dyDescent="0.3">
      <c r="K3001" s="7"/>
    </row>
    <row r="3002" spans="11:11" x14ac:dyDescent="0.3">
      <c r="K3002" s="7"/>
    </row>
    <row r="3003" spans="11:11" x14ac:dyDescent="0.3">
      <c r="K3003" s="7"/>
    </row>
    <row r="3004" spans="11:11" x14ac:dyDescent="0.3">
      <c r="K3004" s="7"/>
    </row>
    <row r="3005" spans="11:11" x14ac:dyDescent="0.3">
      <c r="K3005" s="7"/>
    </row>
    <row r="3006" spans="11:11" x14ac:dyDescent="0.3">
      <c r="K3006" s="7"/>
    </row>
    <row r="3007" spans="11:11" x14ac:dyDescent="0.3">
      <c r="K3007" s="7"/>
    </row>
    <row r="3008" spans="11:11" x14ac:dyDescent="0.3">
      <c r="K3008" s="7"/>
    </row>
    <row r="3009" spans="11:11" x14ac:dyDescent="0.3">
      <c r="K3009" s="7"/>
    </row>
    <row r="3010" spans="11:11" x14ac:dyDescent="0.3">
      <c r="K3010" s="7"/>
    </row>
    <row r="3011" spans="11:11" x14ac:dyDescent="0.3">
      <c r="K3011" s="7"/>
    </row>
    <row r="3012" spans="11:11" x14ac:dyDescent="0.3">
      <c r="K3012" s="7"/>
    </row>
    <row r="3013" spans="11:11" x14ac:dyDescent="0.3">
      <c r="K3013" s="7"/>
    </row>
    <row r="3014" spans="11:11" x14ac:dyDescent="0.3">
      <c r="K3014" s="7"/>
    </row>
    <row r="3015" spans="11:11" x14ac:dyDescent="0.3">
      <c r="K3015" s="7"/>
    </row>
    <row r="3016" spans="11:11" x14ac:dyDescent="0.3">
      <c r="K3016" s="7"/>
    </row>
    <row r="3017" spans="11:11" x14ac:dyDescent="0.3">
      <c r="K3017" s="7"/>
    </row>
    <row r="3018" spans="11:11" x14ac:dyDescent="0.3">
      <c r="K3018" s="7"/>
    </row>
    <row r="3019" spans="11:11" x14ac:dyDescent="0.3">
      <c r="K3019" s="7"/>
    </row>
    <row r="3020" spans="11:11" x14ac:dyDescent="0.3">
      <c r="K3020" s="7"/>
    </row>
    <row r="3021" spans="11:11" x14ac:dyDescent="0.3">
      <c r="K3021" s="7"/>
    </row>
    <row r="3022" spans="11:11" x14ac:dyDescent="0.3">
      <c r="K3022" s="7"/>
    </row>
    <row r="3023" spans="11:11" x14ac:dyDescent="0.3">
      <c r="K3023" s="7"/>
    </row>
    <row r="3024" spans="11:11" x14ac:dyDescent="0.3">
      <c r="K3024" s="7"/>
    </row>
    <row r="3025" spans="11:11" x14ac:dyDescent="0.3">
      <c r="K3025" s="7"/>
    </row>
    <row r="3026" spans="11:11" x14ac:dyDescent="0.3">
      <c r="K3026" s="7"/>
    </row>
    <row r="3027" spans="11:11" x14ac:dyDescent="0.3">
      <c r="K3027" s="7"/>
    </row>
    <row r="3028" spans="11:11" x14ac:dyDescent="0.3">
      <c r="K3028" s="7"/>
    </row>
    <row r="3029" spans="11:11" x14ac:dyDescent="0.3">
      <c r="K3029" s="7"/>
    </row>
    <row r="3030" spans="11:11" x14ac:dyDescent="0.3">
      <c r="K3030" s="7"/>
    </row>
    <row r="3031" spans="11:11" x14ac:dyDescent="0.3">
      <c r="K3031" s="7"/>
    </row>
    <row r="3032" spans="11:11" x14ac:dyDescent="0.3">
      <c r="K3032" s="7"/>
    </row>
    <row r="3033" spans="11:11" x14ac:dyDescent="0.3">
      <c r="K3033" s="7"/>
    </row>
    <row r="3034" spans="11:11" x14ac:dyDescent="0.3">
      <c r="K3034" s="7"/>
    </row>
    <row r="3035" spans="11:11" x14ac:dyDescent="0.3">
      <c r="K3035" s="7"/>
    </row>
    <row r="3036" spans="11:11" x14ac:dyDescent="0.3">
      <c r="K3036" s="7"/>
    </row>
    <row r="3037" spans="11:11" x14ac:dyDescent="0.3">
      <c r="K3037" s="7"/>
    </row>
    <row r="3038" spans="11:11" x14ac:dyDescent="0.3">
      <c r="K3038" s="7"/>
    </row>
    <row r="3039" spans="11:11" x14ac:dyDescent="0.3">
      <c r="K3039" s="7"/>
    </row>
    <row r="3040" spans="11:11" x14ac:dyDescent="0.3">
      <c r="K3040" s="7"/>
    </row>
    <row r="3041" spans="11:11" x14ac:dyDescent="0.3">
      <c r="K3041" s="7"/>
    </row>
    <row r="3042" spans="11:11" x14ac:dyDescent="0.3">
      <c r="K3042" s="7"/>
    </row>
    <row r="3043" spans="11:11" x14ac:dyDescent="0.3">
      <c r="K3043" s="7"/>
    </row>
    <row r="3044" spans="11:11" x14ac:dyDescent="0.3">
      <c r="K3044" s="7"/>
    </row>
    <row r="3045" spans="11:11" x14ac:dyDescent="0.3">
      <c r="K3045" s="7"/>
    </row>
    <row r="3046" spans="11:11" x14ac:dyDescent="0.3">
      <c r="K3046" s="7"/>
    </row>
    <row r="3047" spans="11:11" x14ac:dyDescent="0.3">
      <c r="K3047" s="7"/>
    </row>
    <row r="3048" spans="11:11" x14ac:dyDescent="0.3">
      <c r="K3048" s="7"/>
    </row>
    <row r="3049" spans="11:11" x14ac:dyDescent="0.3">
      <c r="K3049" s="7"/>
    </row>
    <row r="3050" spans="11:11" x14ac:dyDescent="0.3">
      <c r="K3050" s="7"/>
    </row>
    <row r="3051" spans="11:11" x14ac:dyDescent="0.3">
      <c r="K3051" s="7"/>
    </row>
    <row r="3052" spans="11:11" x14ac:dyDescent="0.3">
      <c r="K3052" s="7"/>
    </row>
    <row r="3053" spans="11:11" x14ac:dyDescent="0.3">
      <c r="K3053" s="7"/>
    </row>
    <row r="3054" spans="11:11" x14ac:dyDescent="0.3">
      <c r="K3054" s="7"/>
    </row>
    <row r="3055" spans="11:11" x14ac:dyDescent="0.3">
      <c r="K3055" s="7"/>
    </row>
    <row r="3056" spans="11:11" x14ac:dyDescent="0.3">
      <c r="K3056" s="7"/>
    </row>
    <row r="3057" spans="11:11" x14ac:dyDescent="0.3">
      <c r="K3057" s="7"/>
    </row>
    <row r="3058" spans="11:11" x14ac:dyDescent="0.3">
      <c r="K3058" s="7"/>
    </row>
    <row r="3059" spans="11:11" x14ac:dyDescent="0.3">
      <c r="K3059" s="7"/>
    </row>
    <row r="3060" spans="11:11" x14ac:dyDescent="0.3">
      <c r="K3060" s="7"/>
    </row>
    <row r="3061" spans="11:11" x14ac:dyDescent="0.3">
      <c r="K3061" s="7"/>
    </row>
    <row r="3062" spans="11:11" x14ac:dyDescent="0.3">
      <c r="K3062" s="7"/>
    </row>
    <row r="3063" spans="11:11" x14ac:dyDescent="0.3">
      <c r="K3063" s="7"/>
    </row>
    <row r="3064" spans="11:11" x14ac:dyDescent="0.3">
      <c r="K3064" s="7"/>
    </row>
    <row r="3065" spans="11:11" x14ac:dyDescent="0.3">
      <c r="K3065" s="7"/>
    </row>
    <row r="3066" spans="11:11" x14ac:dyDescent="0.3">
      <c r="K3066" s="7"/>
    </row>
    <row r="3067" spans="11:11" x14ac:dyDescent="0.3">
      <c r="K3067" s="7"/>
    </row>
    <row r="3068" spans="11:11" x14ac:dyDescent="0.3">
      <c r="K3068" s="7"/>
    </row>
    <row r="3069" spans="11:11" x14ac:dyDescent="0.3">
      <c r="K3069" s="7"/>
    </row>
    <row r="3070" spans="11:11" x14ac:dyDescent="0.3">
      <c r="K3070" s="7"/>
    </row>
    <row r="3071" spans="11:11" x14ac:dyDescent="0.3">
      <c r="K3071" s="7"/>
    </row>
    <row r="3072" spans="11:11" x14ac:dyDescent="0.3">
      <c r="K3072" s="7"/>
    </row>
    <row r="3073" spans="11:11" x14ac:dyDescent="0.3">
      <c r="K3073" s="7"/>
    </row>
    <row r="3074" spans="11:11" x14ac:dyDescent="0.3">
      <c r="K3074" s="7"/>
    </row>
    <row r="3075" spans="11:11" x14ac:dyDescent="0.3">
      <c r="K3075" s="7"/>
    </row>
    <row r="3076" spans="11:11" x14ac:dyDescent="0.3">
      <c r="K3076" s="7"/>
    </row>
    <row r="3077" spans="11:11" x14ac:dyDescent="0.3">
      <c r="K3077" s="7"/>
    </row>
    <row r="3078" spans="11:11" x14ac:dyDescent="0.3">
      <c r="K3078" s="7"/>
    </row>
    <row r="3079" spans="11:11" x14ac:dyDescent="0.3">
      <c r="K3079" s="7"/>
    </row>
    <row r="3080" spans="11:11" x14ac:dyDescent="0.3">
      <c r="K3080" s="7"/>
    </row>
    <row r="3081" spans="11:11" x14ac:dyDescent="0.3">
      <c r="K3081" s="7"/>
    </row>
    <row r="3082" spans="11:11" x14ac:dyDescent="0.3">
      <c r="K3082" s="7"/>
    </row>
    <row r="3083" spans="11:11" x14ac:dyDescent="0.3">
      <c r="K3083" s="7"/>
    </row>
    <row r="3084" spans="11:11" x14ac:dyDescent="0.3">
      <c r="K3084" s="7"/>
    </row>
    <row r="3085" spans="11:11" x14ac:dyDescent="0.3">
      <c r="K3085" s="7"/>
    </row>
    <row r="3086" spans="11:11" x14ac:dyDescent="0.3">
      <c r="K3086" s="7"/>
    </row>
    <row r="3087" spans="11:11" x14ac:dyDescent="0.3">
      <c r="K3087" s="7"/>
    </row>
    <row r="3088" spans="11:11" x14ac:dyDescent="0.3">
      <c r="K3088" s="7"/>
    </row>
    <row r="3089" spans="11:11" x14ac:dyDescent="0.3">
      <c r="K3089" s="7"/>
    </row>
    <row r="3090" spans="11:11" x14ac:dyDescent="0.3">
      <c r="K3090" s="7"/>
    </row>
    <row r="3091" spans="11:11" x14ac:dyDescent="0.3">
      <c r="K3091" s="7"/>
    </row>
    <row r="3092" spans="11:11" x14ac:dyDescent="0.3">
      <c r="K3092" s="7"/>
    </row>
    <row r="3093" spans="11:11" x14ac:dyDescent="0.3">
      <c r="K3093" s="7"/>
    </row>
    <row r="3094" spans="11:11" x14ac:dyDescent="0.3">
      <c r="K3094" s="7"/>
    </row>
    <row r="3095" spans="11:11" x14ac:dyDescent="0.3">
      <c r="K3095" s="7"/>
    </row>
    <row r="3096" spans="11:11" x14ac:dyDescent="0.3">
      <c r="K3096" s="7"/>
    </row>
    <row r="3097" spans="11:11" x14ac:dyDescent="0.3">
      <c r="K3097" s="7"/>
    </row>
    <row r="3098" spans="11:11" x14ac:dyDescent="0.3">
      <c r="K3098" s="7"/>
    </row>
    <row r="3099" spans="11:11" x14ac:dyDescent="0.3">
      <c r="K3099" s="7"/>
    </row>
    <row r="3100" spans="11:11" x14ac:dyDescent="0.3">
      <c r="K3100" s="7"/>
    </row>
    <row r="3101" spans="11:11" x14ac:dyDescent="0.3">
      <c r="K3101" s="7"/>
    </row>
    <row r="3102" spans="11:11" x14ac:dyDescent="0.3">
      <c r="K3102" s="7"/>
    </row>
    <row r="3103" spans="11:11" x14ac:dyDescent="0.3">
      <c r="K3103" s="7"/>
    </row>
    <row r="3104" spans="11:11" x14ac:dyDescent="0.3">
      <c r="K3104" s="7"/>
    </row>
    <row r="3105" spans="11:11" x14ac:dyDescent="0.3">
      <c r="K3105" s="7"/>
    </row>
    <row r="3106" spans="11:11" x14ac:dyDescent="0.3">
      <c r="K3106" s="7"/>
    </row>
    <row r="3107" spans="11:11" x14ac:dyDescent="0.3">
      <c r="K3107" s="7"/>
    </row>
    <row r="3108" spans="11:11" x14ac:dyDescent="0.3">
      <c r="K3108" s="7"/>
    </row>
    <row r="3109" spans="11:11" x14ac:dyDescent="0.3">
      <c r="K3109" s="7"/>
    </row>
    <row r="3110" spans="11:11" x14ac:dyDescent="0.3">
      <c r="K3110" s="7"/>
    </row>
    <row r="3111" spans="11:11" x14ac:dyDescent="0.3">
      <c r="K3111" s="7"/>
    </row>
    <row r="3112" spans="11:11" x14ac:dyDescent="0.3">
      <c r="K3112" s="7"/>
    </row>
    <row r="3113" spans="11:11" x14ac:dyDescent="0.3">
      <c r="K3113" s="7"/>
    </row>
    <row r="3114" spans="11:11" x14ac:dyDescent="0.3">
      <c r="K3114" s="7"/>
    </row>
    <row r="3115" spans="11:11" x14ac:dyDescent="0.3">
      <c r="K3115" s="7"/>
    </row>
    <row r="3116" spans="11:11" x14ac:dyDescent="0.3">
      <c r="K3116" s="7"/>
    </row>
    <row r="3117" spans="11:11" x14ac:dyDescent="0.3">
      <c r="K3117" s="7"/>
    </row>
    <row r="3118" spans="11:11" x14ac:dyDescent="0.3">
      <c r="K3118" s="7"/>
    </row>
    <row r="3119" spans="11:11" x14ac:dyDescent="0.3">
      <c r="K3119" s="7"/>
    </row>
    <row r="3120" spans="11:11" x14ac:dyDescent="0.3">
      <c r="K3120" s="7"/>
    </row>
    <row r="3121" spans="11:11" x14ac:dyDescent="0.3">
      <c r="K3121" s="7"/>
    </row>
    <row r="3122" spans="11:11" x14ac:dyDescent="0.3">
      <c r="K3122" s="7"/>
    </row>
    <row r="3123" spans="11:11" x14ac:dyDescent="0.3">
      <c r="K3123" s="7"/>
    </row>
    <row r="3124" spans="11:11" x14ac:dyDescent="0.3">
      <c r="K3124" s="7"/>
    </row>
    <row r="3125" spans="11:11" x14ac:dyDescent="0.3">
      <c r="K3125" s="7"/>
    </row>
    <row r="3126" spans="11:11" x14ac:dyDescent="0.3">
      <c r="K3126" s="7"/>
    </row>
    <row r="3127" spans="11:11" x14ac:dyDescent="0.3">
      <c r="K3127" s="7"/>
    </row>
    <row r="3128" spans="11:11" x14ac:dyDescent="0.3">
      <c r="K3128" s="7"/>
    </row>
    <row r="3129" spans="11:11" x14ac:dyDescent="0.3">
      <c r="K3129" s="7"/>
    </row>
    <row r="3130" spans="11:11" x14ac:dyDescent="0.3">
      <c r="K3130" s="7"/>
    </row>
    <row r="3131" spans="11:11" x14ac:dyDescent="0.3">
      <c r="K3131" s="7"/>
    </row>
    <row r="3132" spans="11:11" x14ac:dyDescent="0.3">
      <c r="K3132" s="7"/>
    </row>
    <row r="3133" spans="11:11" x14ac:dyDescent="0.3">
      <c r="K3133" s="7"/>
    </row>
    <row r="3134" spans="11:11" x14ac:dyDescent="0.3">
      <c r="K3134" s="7"/>
    </row>
    <row r="3135" spans="11:11" x14ac:dyDescent="0.3">
      <c r="K3135" s="7"/>
    </row>
    <row r="3136" spans="11:11" x14ac:dyDescent="0.3">
      <c r="K3136" s="7"/>
    </row>
    <row r="3137" spans="11:11" x14ac:dyDescent="0.3">
      <c r="K3137" s="7"/>
    </row>
    <row r="3138" spans="11:11" x14ac:dyDescent="0.3">
      <c r="K3138" s="7"/>
    </row>
    <row r="3139" spans="11:11" x14ac:dyDescent="0.3">
      <c r="K3139" s="7"/>
    </row>
    <row r="3140" spans="11:11" x14ac:dyDescent="0.3">
      <c r="K3140" s="7"/>
    </row>
    <row r="3141" spans="11:11" x14ac:dyDescent="0.3">
      <c r="K3141" s="7"/>
    </row>
    <row r="3142" spans="11:11" x14ac:dyDescent="0.3">
      <c r="K3142" s="7"/>
    </row>
    <row r="3143" spans="11:11" x14ac:dyDescent="0.3">
      <c r="K3143" s="7"/>
    </row>
    <row r="3144" spans="11:11" x14ac:dyDescent="0.3">
      <c r="K3144" s="7"/>
    </row>
    <row r="3145" spans="11:11" x14ac:dyDescent="0.3">
      <c r="K3145" s="7"/>
    </row>
    <row r="3146" spans="11:11" x14ac:dyDescent="0.3">
      <c r="K3146" s="7"/>
    </row>
    <row r="3147" spans="11:11" x14ac:dyDescent="0.3">
      <c r="K3147" s="7"/>
    </row>
    <row r="3148" spans="11:11" x14ac:dyDescent="0.3">
      <c r="K3148" s="7"/>
    </row>
    <row r="3149" spans="11:11" x14ac:dyDescent="0.3">
      <c r="K3149" s="7"/>
    </row>
    <row r="3150" spans="11:11" x14ac:dyDescent="0.3">
      <c r="K3150" s="7"/>
    </row>
    <row r="3151" spans="11:11" x14ac:dyDescent="0.3">
      <c r="K3151" s="7"/>
    </row>
    <row r="3152" spans="11:11" x14ac:dyDescent="0.3">
      <c r="K3152" s="7"/>
    </row>
    <row r="3153" spans="11:11" x14ac:dyDescent="0.3">
      <c r="K3153" s="7"/>
    </row>
    <row r="3154" spans="11:11" x14ac:dyDescent="0.3">
      <c r="K3154" s="7"/>
    </row>
    <row r="3155" spans="11:11" x14ac:dyDescent="0.3">
      <c r="K3155" s="7"/>
    </row>
    <row r="3156" spans="11:11" x14ac:dyDescent="0.3">
      <c r="K3156" s="7"/>
    </row>
    <row r="3157" spans="11:11" x14ac:dyDescent="0.3">
      <c r="K3157" s="7"/>
    </row>
    <row r="3158" spans="11:11" x14ac:dyDescent="0.3">
      <c r="K3158" s="7"/>
    </row>
    <row r="3159" spans="11:11" x14ac:dyDescent="0.3">
      <c r="K3159" s="7"/>
    </row>
    <row r="3160" spans="11:11" x14ac:dyDescent="0.3">
      <c r="K3160" s="7"/>
    </row>
    <row r="3161" spans="11:11" x14ac:dyDescent="0.3">
      <c r="K3161" s="7"/>
    </row>
    <row r="3162" spans="11:11" x14ac:dyDescent="0.3">
      <c r="K3162" s="7"/>
    </row>
    <row r="3163" spans="11:11" x14ac:dyDescent="0.3">
      <c r="K3163" s="7"/>
    </row>
    <row r="3164" spans="11:11" x14ac:dyDescent="0.3">
      <c r="K3164" s="7"/>
    </row>
    <row r="3165" spans="11:11" x14ac:dyDescent="0.3">
      <c r="K3165" s="7"/>
    </row>
    <row r="3166" spans="11:11" x14ac:dyDescent="0.3">
      <c r="K3166" s="7"/>
    </row>
    <row r="3167" spans="11:11" x14ac:dyDescent="0.3">
      <c r="K3167" s="7"/>
    </row>
    <row r="3168" spans="11:11" x14ac:dyDescent="0.3">
      <c r="K3168" s="7"/>
    </row>
    <row r="3169" spans="11:11" x14ac:dyDescent="0.3">
      <c r="K3169" s="7"/>
    </row>
    <row r="3170" spans="11:11" x14ac:dyDescent="0.3">
      <c r="K3170" s="7"/>
    </row>
    <row r="3171" spans="11:11" x14ac:dyDescent="0.3">
      <c r="K3171" s="7"/>
    </row>
    <row r="3172" spans="11:11" x14ac:dyDescent="0.3">
      <c r="K3172" s="7"/>
    </row>
    <row r="3173" spans="11:11" x14ac:dyDescent="0.3">
      <c r="K3173" s="7"/>
    </row>
    <row r="3174" spans="11:11" x14ac:dyDescent="0.3">
      <c r="K3174" s="7"/>
    </row>
    <row r="3175" spans="11:11" x14ac:dyDescent="0.3">
      <c r="K3175" s="7"/>
    </row>
    <row r="3176" spans="11:11" x14ac:dyDescent="0.3">
      <c r="K3176" s="7"/>
    </row>
    <row r="3177" spans="11:11" x14ac:dyDescent="0.3">
      <c r="K3177" s="7"/>
    </row>
    <row r="3178" spans="11:11" x14ac:dyDescent="0.3">
      <c r="K3178" s="7"/>
    </row>
    <row r="3179" spans="11:11" x14ac:dyDescent="0.3">
      <c r="K3179" s="7"/>
    </row>
    <row r="3180" spans="11:11" x14ac:dyDescent="0.3">
      <c r="K3180" s="7"/>
    </row>
    <row r="3181" spans="11:11" x14ac:dyDescent="0.3">
      <c r="K3181" s="7"/>
    </row>
    <row r="3182" spans="11:11" x14ac:dyDescent="0.3">
      <c r="K3182" s="7"/>
    </row>
    <row r="3183" spans="11:11" x14ac:dyDescent="0.3">
      <c r="K3183" s="7"/>
    </row>
    <row r="3184" spans="11:11" x14ac:dyDescent="0.3">
      <c r="K3184" s="7"/>
    </row>
    <row r="3185" spans="11:11" x14ac:dyDescent="0.3">
      <c r="K3185" s="7"/>
    </row>
    <row r="3186" spans="11:11" x14ac:dyDescent="0.3">
      <c r="K3186" s="7"/>
    </row>
    <row r="3187" spans="11:11" x14ac:dyDescent="0.3">
      <c r="K3187" s="7"/>
    </row>
    <row r="3188" spans="11:11" x14ac:dyDescent="0.3">
      <c r="K3188" s="7"/>
    </row>
    <row r="3189" spans="11:11" x14ac:dyDescent="0.3">
      <c r="K3189" s="7"/>
    </row>
    <row r="3190" spans="11:11" x14ac:dyDescent="0.3">
      <c r="K3190" s="7"/>
    </row>
    <row r="3191" spans="11:11" x14ac:dyDescent="0.3">
      <c r="K3191" s="7"/>
    </row>
    <row r="3192" spans="11:11" x14ac:dyDescent="0.3">
      <c r="K3192" s="7"/>
    </row>
    <row r="3193" spans="11:11" x14ac:dyDescent="0.3">
      <c r="K3193" s="7"/>
    </row>
    <row r="3194" spans="11:11" x14ac:dyDescent="0.3">
      <c r="K3194" s="7"/>
    </row>
    <row r="3195" spans="11:11" x14ac:dyDescent="0.3">
      <c r="K3195" s="7"/>
    </row>
    <row r="3196" spans="11:11" x14ac:dyDescent="0.3">
      <c r="K3196" s="7"/>
    </row>
    <row r="3197" spans="11:11" x14ac:dyDescent="0.3">
      <c r="K3197" s="7"/>
    </row>
    <row r="3198" spans="11:11" x14ac:dyDescent="0.3">
      <c r="K3198" s="7"/>
    </row>
    <row r="3199" spans="11:11" x14ac:dyDescent="0.3">
      <c r="K3199" s="7"/>
    </row>
    <row r="3200" spans="11:11" x14ac:dyDescent="0.3">
      <c r="K3200" s="7"/>
    </row>
    <row r="3201" spans="11:11" x14ac:dyDescent="0.3">
      <c r="K3201" s="7"/>
    </row>
    <row r="3202" spans="11:11" x14ac:dyDescent="0.3">
      <c r="K3202" s="7"/>
    </row>
    <row r="3203" spans="11:11" x14ac:dyDescent="0.3">
      <c r="K3203" s="7"/>
    </row>
    <row r="3204" spans="11:11" x14ac:dyDescent="0.3">
      <c r="K3204" s="7"/>
    </row>
    <row r="3205" spans="11:11" x14ac:dyDescent="0.3">
      <c r="K3205" s="7"/>
    </row>
    <row r="3206" spans="11:11" x14ac:dyDescent="0.3">
      <c r="K3206" s="7"/>
    </row>
    <row r="3207" spans="11:11" x14ac:dyDescent="0.3">
      <c r="K3207" s="7"/>
    </row>
    <row r="3208" spans="11:11" x14ac:dyDescent="0.3">
      <c r="K3208" s="7"/>
    </row>
    <row r="3209" spans="11:11" x14ac:dyDescent="0.3">
      <c r="K3209" s="7"/>
    </row>
    <row r="3210" spans="11:11" x14ac:dyDescent="0.3">
      <c r="K3210" s="7"/>
    </row>
    <row r="3211" spans="11:11" x14ac:dyDescent="0.3">
      <c r="K3211" s="7"/>
    </row>
    <row r="3212" spans="11:11" x14ac:dyDescent="0.3">
      <c r="K3212" s="7"/>
    </row>
    <row r="3213" spans="11:11" x14ac:dyDescent="0.3">
      <c r="K3213" s="7"/>
    </row>
    <row r="3214" spans="11:11" x14ac:dyDescent="0.3">
      <c r="K3214" s="7"/>
    </row>
    <row r="3215" spans="11:11" x14ac:dyDescent="0.3">
      <c r="K3215" s="7"/>
    </row>
    <row r="3216" spans="11:11" x14ac:dyDescent="0.3">
      <c r="K3216" s="7"/>
    </row>
    <row r="3217" spans="11:11" x14ac:dyDescent="0.3">
      <c r="K3217" s="7"/>
    </row>
    <row r="3218" spans="11:11" x14ac:dyDescent="0.3">
      <c r="K3218" s="7"/>
    </row>
    <row r="3219" spans="11:11" x14ac:dyDescent="0.3">
      <c r="K3219" s="7"/>
    </row>
    <row r="3220" spans="11:11" x14ac:dyDescent="0.3">
      <c r="K3220" s="7"/>
    </row>
    <row r="3221" spans="11:11" x14ac:dyDescent="0.3">
      <c r="K3221" s="7"/>
    </row>
    <row r="3222" spans="11:11" x14ac:dyDescent="0.3">
      <c r="K3222" s="7"/>
    </row>
    <row r="3223" spans="11:11" x14ac:dyDescent="0.3">
      <c r="K3223" s="7"/>
    </row>
    <row r="3224" spans="11:11" x14ac:dyDescent="0.3">
      <c r="K3224" s="7"/>
    </row>
    <row r="3225" spans="11:11" x14ac:dyDescent="0.3">
      <c r="K3225" s="7"/>
    </row>
    <row r="3226" spans="11:11" x14ac:dyDescent="0.3">
      <c r="K3226" s="7"/>
    </row>
    <row r="3227" spans="11:11" x14ac:dyDescent="0.3">
      <c r="K3227" s="7"/>
    </row>
    <row r="3228" spans="11:11" x14ac:dyDescent="0.3">
      <c r="K3228" s="7"/>
    </row>
    <row r="3229" spans="11:11" x14ac:dyDescent="0.3">
      <c r="K3229" s="7"/>
    </row>
    <row r="3230" spans="11:11" x14ac:dyDescent="0.3">
      <c r="K3230" s="7"/>
    </row>
    <row r="3231" spans="11:11" x14ac:dyDescent="0.3">
      <c r="K3231" s="7"/>
    </row>
    <row r="3232" spans="11:11" x14ac:dyDescent="0.3">
      <c r="K3232" s="7"/>
    </row>
    <row r="3233" spans="11:11" x14ac:dyDescent="0.3">
      <c r="K3233" s="7"/>
    </row>
    <row r="3234" spans="11:11" x14ac:dyDescent="0.3">
      <c r="K3234" s="7"/>
    </row>
    <row r="3235" spans="11:11" x14ac:dyDescent="0.3">
      <c r="K3235" s="7"/>
    </row>
    <row r="3236" spans="11:11" x14ac:dyDescent="0.3">
      <c r="K3236" s="7"/>
    </row>
    <row r="3237" spans="11:11" x14ac:dyDescent="0.3">
      <c r="K3237" s="7"/>
    </row>
    <row r="3238" spans="11:11" x14ac:dyDescent="0.3">
      <c r="K3238" s="7"/>
    </row>
    <row r="3239" spans="11:11" x14ac:dyDescent="0.3">
      <c r="K3239" s="7"/>
    </row>
    <row r="3240" spans="11:11" x14ac:dyDescent="0.3">
      <c r="K3240" s="7"/>
    </row>
    <row r="3241" spans="11:11" x14ac:dyDescent="0.3">
      <c r="K3241" s="7"/>
    </row>
    <row r="3242" spans="11:11" x14ac:dyDescent="0.3">
      <c r="K3242" s="7"/>
    </row>
    <row r="3243" spans="11:11" x14ac:dyDescent="0.3">
      <c r="K3243" s="7"/>
    </row>
    <row r="3244" spans="11:11" x14ac:dyDescent="0.3">
      <c r="K3244" s="7"/>
    </row>
    <row r="3245" spans="11:11" x14ac:dyDescent="0.3">
      <c r="K3245" s="7"/>
    </row>
    <row r="3246" spans="11:11" x14ac:dyDescent="0.3">
      <c r="K3246" s="7"/>
    </row>
    <row r="3247" spans="11:11" x14ac:dyDescent="0.3">
      <c r="K3247" s="7"/>
    </row>
    <row r="3248" spans="11:11" x14ac:dyDescent="0.3">
      <c r="K3248" s="7"/>
    </row>
    <row r="3249" spans="11:11" x14ac:dyDescent="0.3">
      <c r="K3249" s="7"/>
    </row>
    <row r="3250" spans="11:11" x14ac:dyDescent="0.3">
      <c r="K3250" s="7"/>
    </row>
    <row r="3251" spans="11:11" x14ac:dyDescent="0.3">
      <c r="K3251" s="7"/>
    </row>
    <row r="3252" spans="11:11" x14ac:dyDescent="0.3">
      <c r="K3252" s="7"/>
    </row>
    <row r="3253" spans="11:11" x14ac:dyDescent="0.3">
      <c r="K3253" s="7"/>
    </row>
    <row r="3254" spans="11:11" x14ac:dyDescent="0.3">
      <c r="K3254" s="7"/>
    </row>
    <row r="3255" spans="11:11" x14ac:dyDescent="0.3">
      <c r="K3255" s="7"/>
    </row>
    <row r="3256" spans="11:11" x14ac:dyDescent="0.3">
      <c r="K3256" s="7"/>
    </row>
    <row r="3257" spans="11:11" x14ac:dyDescent="0.3">
      <c r="K3257" s="7"/>
    </row>
    <row r="3258" spans="11:11" x14ac:dyDescent="0.3">
      <c r="K3258" s="7"/>
    </row>
    <row r="3259" spans="11:11" x14ac:dyDescent="0.3">
      <c r="K3259" s="7"/>
    </row>
    <row r="3260" spans="11:11" x14ac:dyDescent="0.3">
      <c r="K3260" s="7"/>
    </row>
    <row r="3261" spans="11:11" x14ac:dyDescent="0.3">
      <c r="K3261" s="7"/>
    </row>
    <row r="3262" spans="11:11" x14ac:dyDescent="0.3">
      <c r="K3262" s="7"/>
    </row>
    <row r="3263" spans="11:11" x14ac:dyDescent="0.3">
      <c r="K3263" s="7"/>
    </row>
    <row r="3264" spans="11:11" x14ac:dyDescent="0.3">
      <c r="K3264" s="7"/>
    </row>
    <row r="3265" spans="11:11" x14ac:dyDescent="0.3">
      <c r="K3265" s="7"/>
    </row>
    <row r="3266" spans="11:11" x14ac:dyDescent="0.3">
      <c r="K3266" s="7"/>
    </row>
    <row r="3267" spans="11:11" x14ac:dyDescent="0.3">
      <c r="K3267" s="7"/>
    </row>
    <row r="3268" spans="11:11" x14ac:dyDescent="0.3">
      <c r="K3268" s="7"/>
    </row>
    <row r="3269" spans="11:11" x14ac:dyDescent="0.3">
      <c r="K3269" s="7"/>
    </row>
    <row r="3270" spans="11:11" x14ac:dyDescent="0.3">
      <c r="K3270" s="7"/>
    </row>
    <row r="3271" spans="11:11" x14ac:dyDescent="0.3">
      <c r="K3271" s="7"/>
    </row>
    <row r="3272" spans="11:11" x14ac:dyDescent="0.3">
      <c r="K3272" s="7"/>
    </row>
    <row r="3273" spans="11:11" x14ac:dyDescent="0.3">
      <c r="K3273" s="7"/>
    </row>
    <row r="3274" spans="11:11" x14ac:dyDescent="0.3">
      <c r="K3274" s="7"/>
    </row>
    <row r="3275" spans="11:11" x14ac:dyDescent="0.3">
      <c r="K3275" s="7"/>
    </row>
    <row r="3276" spans="11:11" x14ac:dyDescent="0.3">
      <c r="K3276" s="7"/>
    </row>
    <row r="3277" spans="11:11" x14ac:dyDescent="0.3">
      <c r="K3277" s="7"/>
    </row>
    <row r="3278" spans="11:11" x14ac:dyDescent="0.3">
      <c r="K3278" s="7"/>
    </row>
    <row r="3279" spans="11:11" x14ac:dyDescent="0.3">
      <c r="K3279" s="7"/>
    </row>
    <row r="3280" spans="11:11" x14ac:dyDescent="0.3">
      <c r="K3280" s="7"/>
    </row>
    <row r="3281" spans="11:11" x14ac:dyDescent="0.3">
      <c r="K3281" s="7"/>
    </row>
    <row r="3282" spans="11:11" x14ac:dyDescent="0.3">
      <c r="K3282" s="7"/>
    </row>
    <row r="3283" spans="11:11" x14ac:dyDescent="0.3">
      <c r="K3283" s="7"/>
    </row>
    <row r="3284" spans="11:11" x14ac:dyDescent="0.3">
      <c r="K3284" s="7"/>
    </row>
    <row r="3285" spans="11:11" x14ac:dyDescent="0.3">
      <c r="K3285" s="7"/>
    </row>
    <row r="3286" spans="11:11" x14ac:dyDescent="0.3">
      <c r="K3286" s="7"/>
    </row>
    <row r="3287" spans="11:11" x14ac:dyDescent="0.3">
      <c r="K3287" s="7"/>
    </row>
    <row r="3288" spans="11:11" x14ac:dyDescent="0.3">
      <c r="K3288" s="7"/>
    </row>
    <row r="3289" spans="11:11" x14ac:dyDescent="0.3">
      <c r="K3289" s="7"/>
    </row>
    <row r="3290" spans="11:11" x14ac:dyDescent="0.3">
      <c r="K3290" s="7"/>
    </row>
    <row r="3291" spans="11:11" x14ac:dyDescent="0.3">
      <c r="K3291" s="7"/>
    </row>
    <row r="3292" spans="11:11" x14ac:dyDescent="0.3">
      <c r="K3292" s="7"/>
    </row>
    <row r="3293" spans="11:11" x14ac:dyDescent="0.3">
      <c r="K3293" s="7"/>
    </row>
    <row r="3294" spans="11:11" x14ac:dyDescent="0.3">
      <c r="K3294" s="7"/>
    </row>
    <row r="3295" spans="11:11" x14ac:dyDescent="0.3">
      <c r="K3295" s="7"/>
    </row>
    <row r="3296" spans="11:11" x14ac:dyDescent="0.3">
      <c r="K3296" s="7"/>
    </row>
    <row r="3297" spans="11:11" x14ac:dyDescent="0.3">
      <c r="K3297" s="7"/>
    </row>
    <row r="3298" spans="11:11" x14ac:dyDescent="0.3">
      <c r="K3298" s="7"/>
    </row>
    <row r="3299" spans="11:11" x14ac:dyDescent="0.3">
      <c r="K3299" s="7"/>
    </row>
    <row r="3300" spans="11:11" x14ac:dyDescent="0.3">
      <c r="K3300" s="7"/>
    </row>
    <row r="3301" spans="11:11" x14ac:dyDescent="0.3">
      <c r="K3301" s="7"/>
    </row>
    <row r="3302" spans="11:11" x14ac:dyDescent="0.3">
      <c r="K3302" s="7"/>
    </row>
    <row r="3303" spans="11:11" x14ac:dyDescent="0.3">
      <c r="K3303" s="7"/>
    </row>
    <row r="3304" spans="11:11" x14ac:dyDescent="0.3">
      <c r="K3304" s="7"/>
    </row>
    <row r="3305" spans="11:11" x14ac:dyDescent="0.3">
      <c r="K3305" s="7"/>
    </row>
    <row r="3306" spans="11:11" x14ac:dyDescent="0.3">
      <c r="K3306" s="7"/>
    </row>
    <row r="3307" spans="11:11" x14ac:dyDescent="0.3">
      <c r="K3307" s="7"/>
    </row>
    <row r="3308" spans="11:11" x14ac:dyDescent="0.3">
      <c r="K3308" s="7"/>
    </row>
    <row r="3309" spans="11:11" x14ac:dyDescent="0.3">
      <c r="K3309" s="7"/>
    </row>
    <row r="3310" spans="11:11" x14ac:dyDescent="0.3">
      <c r="K3310" s="7"/>
    </row>
    <row r="3311" spans="11:11" x14ac:dyDescent="0.3">
      <c r="K3311" s="7"/>
    </row>
    <row r="3312" spans="11:11" x14ac:dyDescent="0.3">
      <c r="K3312" s="7"/>
    </row>
    <row r="3313" spans="11:11" x14ac:dyDescent="0.3">
      <c r="K3313" s="7"/>
    </row>
    <row r="3314" spans="11:11" x14ac:dyDescent="0.3">
      <c r="K3314" s="7"/>
    </row>
    <row r="3315" spans="11:11" x14ac:dyDescent="0.3">
      <c r="K3315" s="7"/>
    </row>
    <row r="3316" spans="11:11" x14ac:dyDescent="0.3">
      <c r="K3316" s="7"/>
    </row>
    <row r="3317" spans="11:11" x14ac:dyDescent="0.3">
      <c r="K3317" s="7"/>
    </row>
    <row r="3318" spans="11:11" x14ac:dyDescent="0.3">
      <c r="K3318" s="7"/>
    </row>
    <row r="3319" spans="11:11" x14ac:dyDescent="0.3">
      <c r="K3319" s="7"/>
    </row>
    <row r="3320" spans="11:11" x14ac:dyDescent="0.3">
      <c r="K3320" s="7"/>
    </row>
    <row r="3321" spans="11:11" x14ac:dyDescent="0.3">
      <c r="K3321" s="7"/>
    </row>
    <row r="3322" spans="11:11" x14ac:dyDescent="0.3">
      <c r="K3322" s="7"/>
    </row>
    <row r="3323" spans="11:11" x14ac:dyDescent="0.3">
      <c r="K3323" s="7"/>
    </row>
    <row r="3324" spans="11:11" x14ac:dyDescent="0.3">
      <c r="K3324" s="7"/>
    </row>
    <row r="3325" spans="11:11" x14ac:dyDescent="0.3">
      <c r="K3325" s="7"/>
    </row>
    <row r="3326" spans="11:11" x14ac:dyDescent="0.3">
      <c r="K3326" s="7"/>
    </row>
    <row r="3327" spans="11:11" x14ac:dyDescent="0.3">
      <c r="K3327" s="7"/>
    </row>
    <row r="3328" spans="11:11" x14ac:dyDescent="0.3">
      <c r="K3328" s="7"/>
    </row>
    <row r="3329" spans="11:11" x14ac:dyDescent="0.3">
      <c r="K3329" s="7"/>
    </row>
    <row r="3330" spans="11:11" x14ac:dyDescent="0.3">
      <c r="K3330" s="7"/>
    </row>
    <row r="3331" spans="11:11" x14ac:dyDescent="0.3">
      <c r="K3331" s="7"/>
    </row>
    <row r="3332" spans="11:11" x14ac:dyDescent="0.3">
      <c r="K3332" s="7"/>
    </row>
    <row r="3333" spans="11:11" x14ac:dyDescent="0.3">
      <c r="K3333" s="7"/>
    </row>
    <row r="3334" spans="11:11" x14ac:dyDescent="0.3">
      <c r="K3334" s="7"/>
    </row>
    <row r="3335" spans="11:11" x14ac:dyDescent="0.3">
      <c r="K3335" s="7"/>
    </row>
    <row r="3336" spans="11:11" x14ac:dyDescent="0.3">
      <c r="K3336" s="7"/>
    </row>
    <row r="3337" spans="11:11" x14ac:dyDescent="0.3">
      <c r="K3337" s="7"/>
    </row>
    <row r="3338" spans="11:11" x14ac:dyDescent="0.3">
      <c r="K3338" s="7"/>
    </row>
    <row r="3339" spans="11:11" x14ac:dyDescent="0.3">
      <c r="K3339" s="7"/>
    </row>
    <row r="3340" spans="11:11" x14ac:dyDescent="0.3">
      <c r="K3340" s="7"/>
    </row>
    <row r="3341" spans="11:11" x14ac:dyDescent="0.3">
      <c r="K3341" s="7"/>
    </row>
    <row r="3342" spans="11:11" x14ac:dyDescent="0.3">
      <c r="K3342" s="7"/>
    </row>
    <row r="3343" spans="11:11" x14ac:dyDescent="0.3">
      <c r="K3343" s="7"/>
    </row>
    <row r="3344" spans="11:11" x14ac:dyDescent="0.3">
      <c r="K3344" s="7"/>
    </row>
    <row r="3345" spans="11:11" x14ac:dyDescent="0.3">
      <c r="K3345" s="7"/>
    </row>
    <row r="3346" spans="11:11" x14ac:dyDescent="0.3">
      <c r="K3346" s="7"/>
    </row>
    <row r="3347" spans="11:11" x14ac:dyDescent="0.3">
      <c r="K3347" s="7"/>
    </row>
    <row r="3348" spans="11:11" x14ac:dyDescent="0.3">
      <c r="K3348" s="7"/>
    </row>
    <row r="3349" spans="11:11" x14ac:dyDescent="0.3">
      <c r="K3349" s="7"/>
    </row>
    <row r="3350" spans="11:11" x14ac:dyDescent="0.3">
      <c r="K3350" s="7"/>
    </row>
    <row r="3351" spans="11:11" x14ac:dyDescent="0.3">
      <c r="K3351" s="7"/>
    </row>
    <row r="3352" spans="11:11" x14ac:dyDescent="0.3">
      <c r="K3352" s="7"/>
    </row>
    <row r="3353" spans="11:11" x14ac:dyDescent="0.3">
      <c r="K3353" s="7"/>
    </row>
    <row r="3354" spans="11:11" x14ac:dyDescent="0.3">
      <c r="K3354" s="7"/>
    </row>
    <row r="3355" spans="11:11" x14ac:dyDescent="0.3">
      <c r="K3355" s="7"/>
    </row>
    <row r="3356" spans="11:11" x14ac:dyDescent="0.3">
      <c r="K3356" s="7"/>
    </row>
    <row r="3357" spans="11:11" x14ac:dyDescent="0.3">
      <c r="K3357" s="7"/>
    </row>
    <row r="3358" spans="11:11" x14ac:dyDescent="0.3">
      <c r="K3358" s="7"/>
    </row>
    <row r="3359" spans="11:11" x14ac:dyDescent="0.3">
      <c r="K3359" s="7"/>
    </row>
    <row r="3360" spans="11:11" x14ac:dyDescent="0.3">
      <c r="K3360" s="7"/>
    </row>
    <row r="3361" spans="11:11" x14ac:dyDescent="0.3">
      <c r="K3361" s="7"/>
    </row>
    <row r="3362" spans="11:11" x14ac:dyDescent="0.3">
      <c r="K3362" s="7"/>
    </row>
    <row r="3363" spans="11:11" x14ac:dyDescent="0.3">
      <c r="K3363" s="7"/>
    </row>
    <row r="3364" spans="11:11" x14ac:dyDescent="0.3">
      <c r="K3364" s="7"/>
    </row>
    <row r="3365" spans="11:11" x14ac:dyDescent="0.3">
      <c r="K3365" s="7"/>
    </row>
    <row r="3366" spans="11:11" x14ac:dyDescent="0.3">
      <c r="K3366" s="7"/>
    </row>
    <row r="3367" spans="11:11" x14ac:dyDescent="0.3">
      <c r="K3367" s="7"/>
    </row>
    <row r="3368" spans="11:11" x14ac:dyDescent="0.3">
      <c r="K3368" s="7"/>
    </row>
    <row r="3369" spans="11:11" x14ac:dyDescent="0.3">
      <c r="K3369" s="7"/>
    </row>
    <row r="3370" spans="11:11" x14ac:dyDescent="0.3">
      <c r="K3370" s="7"/>
    </row>
    <row r="3371" spans="11:11" x14ac:dyDescent="0.3">
      <c r="K3371" s="7"/>
    </row>
    <row r="3372" spans="11:11" x14ac:dyDescent="0.3">
      <c r="K3372" s="7"/>
    </row>
    <row r="3373" spans="11:11" x14ac:dyDescent="0.3">
      <c r="K3373" s="7"/>
    </row>
    <row r="3374" spans="11:11" x14ac:dyDescent="0.3">
      <c r="K3374" s="7"/>
    </row>
    <row r="3375" spans="11:11" x14ac:dyDescent="0.3">
      <c r="K3375" s="7"/>
    </row>
    <row r="3376" spans="11:11" x14ac:dyDescent="0.3">
      <c r="K3376" s="7"/>
    </row>
    <row r="3377" spans="11:11" x14ac:dyDescent="0.3">
      <c r="K3377" s="7"/>
    </row>
    <row r="3378" spans="11:11" x14ac:dyDescent="0.3">
      <c r="K3378" s="7"/>
    </row>
    <row r="3379" spans="11:11" x14ac:dyDescent="0.3">
      <c r="K3379" s="7"/>
    </row>
    <row r="3380" spans="11:11" x14ac:dyDescent="0.3">
      <c r="K3380" s="7"/>
    </row>
    <row r="3381" spans="11:11" x14ac:dyDescent="0.3">
      <c r="K3381" s="7"/>
    </row>
    <row r="3382" spans="11:11" x14ac:dyDescent="0.3">
      <c r="K3382" s="7"/>
    </row>
    <row r="3383" spans="11:11" x14ac:dyDescent="0.3">
      <c r="K3383" s="7"/>
    </row>
    <row r="3384" spans="11:11" x14ac:dyDescent="0.3">
      <c r="K3384" s="7"/>
    </row>
    <row r="3385" spans="11:11" x14ac:dyDescent="0.3">
      <c r="K3385" s="7"/>
    </row>
    <row r="3386" spans="11:11" x14ac:dyDescent="0.3">
      <c r="K3386" s="7"/>
    </row>
    <row r="3387" spans="11:11" x14ac:dyDescent="0.3">
      <c r="K3387" s="7"/>
    </row>
    <row r="3388" spans="11:11" x14ac:dyDescent="0.3">
      <c r="K3388" s="7"/>
    </row>
    <row r="3389" spans="11:11" x14ac:dyDescent="0.3">
      <c r="K3389" s="7"/>
    </row>
    <row r="3390" spans="11:11" x14ac:dyDescent="0.3">
      <c r="K3390" s="7"/>
    </row>
    <row r="3391" spans="11:11" x14ac:dyDescent="0.3">
      <c r="K3391" s="7"/>
    </row>
    <row r="3392" spans="11:11" x14ac:dyDescent="0.3">
      <c r="K3392" s="7"/>
    </row>
    <row r="3393" spans="11:11" x14ac:dyDescent="0.3">
      <c r="K3393" s="7"/>
    </row>
    <row r="3394" spans="11:11" x14ac:dyDescent="0.3">
      <c r="K3394" s="7"/>
    </row>
    <row r="3395" spans="11:11" x14ac:dyDescent="0.3">
      <c r="K3395" s="7"/>
    </row>
    <row r="3396" spans="11:11" x14ac:dyDescent="0.3">
      <c r="K3396" s="7"/>
    </row>
    <row r="3397" spans="11:11" x14ac:dyDescent="0.3">
      <c r="K3397" s="7"/>
    </row>
    <row r="3398" spans="11:11" x14ac:dyDescent="0.3">
      <c r="K3398" s="7"/>
    </row>
    <row r="3399" spans="11:11" x14ac:dyDescent="0.3">
      <c r="K3399" s="7"/>
    </row>
    <row r="3400" spans="11:11" x14ac:dyDescent="0.3">
      <c r="K3400" s="7"/>
    </row>
    <row r="3401" spans="11:11" x14ac:dyDescent="0.3">
      <c r="K3401" s="7"/>
    </row>
    <row r="3402" spans="11:11" x14ac:dyDescent="0.3">
      <c r="K3402" s="7"/>
    </row>
    <row r="3403" spans="11:11" x14ac:dyDescent="0.3">
      <c r="K3403" s="7"/>
    </row>
    <row r="3404" spans="11:11" x14ac:dyDescent="0.3">
      <c r="K3404" s="7"/>
    </row>
    <row r="3405" spans="11:11" x14ac:dyDescent="0.3">
      <c r="K3405" s="7"/>
    </row>
    <row r="3406" spans="11:11" x14ac:dyDescent="0.3">
      <c r="K3406" s="7"/>
    </row>
    <row r="3407" spans="11:11" x14ac:dyDescent="0.3">
      <c r="K3407" s="7"/>
    </row>
    <row r="3408" spans="11:11" x14ac:dyDescent="0.3">
      <c r="K3408" s="7"/>
    </row>
    <row r="3409" spans="11:11" x14ac:dyDescent="0.3">
      <c r="K3409" s="7"/>
    </row>
    <row r="3410" spans="11:11" x14ac:dyDescent="0.3">
      <c r="K3410" s="7"/>
    </row>
    <row r="3411" spans="11:11" x14ac:dyDescent="0.3">
      <c r="K3411" s="7"/>
    </row>
    <row r="3412" spans="11:11" x14ac:dyDescent="0.3">
      <c r="K3412" s="7"/>
    </row>
    <row r="3413" spans="11:11" x14ac:dyDescent="0.3">
      <c r="K3413" s="7"/>
    </row>
    <row r="3414" spans="11:11" x14ac:dyDescent="0.3">
      <c r="K3414" s="7"/>
    </row>
    <row r="3415" spans="11:11" x14ac:dyDescent="0.3">
      <c r="K3415" s="7"/>
    </row>
    <row r="3416" spans="11:11" x14ac:dyDescent="0.3">
      <c r="K3416" s="7"/>
    </row>
    <row r="3417" spans="11:11" x14ac:dyDescent="0.3">
      <c r="K3417" s="7"/>
    </row>
    <row r="3418" spans="11:11" x14ac:dyDescent="0.3">
      <c r="K3418" s="7"/>
    </row>
    <row r="3419" spans="11:11" x14ac:dyDescent="0.3">
      <c r="K3419" s="7"/>
    </row>
    <row r="3420" spans="11:11" x14ac:dyDescent="0.3">
      <c r="K3420" s="7"/>
    </row>
    <row r="3421" spans="11:11" x14ac:dyDescent="0.3">
      <c r="K3421" s="7"/>
    </row>
    <row r="3422" spans="11:11" x14ac:dyDescent="0.3">
      <c r="K3422" s="7"/>
    </row>
    <row r="3423" spans="11:11" x14ac:dyDescent="0.3">
      <c r="K3423" s="7"/>
    </row>
    <row r="3424" spans="11:11" x14ac:dyDescent="0.3">
      <c r="K3424" s="7"/>
    </row>
    <row r="3425" spans="11:11" x14ac:dyDescent="0.3">
      <c r="K3425" s="7"/>
    </row>
    <row r="3426" spans="11:11" x14ac:dyDescent="0.3">
      <c r="K3426" s="7"/>
    </row>
    <row r="3427" spans="11:11" x14ac:dyDescent="0.3">
      <c r="K3427" s="7"/>
    </row>
    <row r="3428" spans="11:11" x14ac:dyDescent="0.3">
      <c r="K3428" s="7"/>
    </row>
    <row r="3429" spans="11:11" x14ac:dyDescent="0.3">
      <c r="K3429" s="7"/>
    </row>
    <row r="3430" spans="11:11" x14ac:dyDescent="0.3">
      <c r="K3430" s="7"/>
    </row>
    <row r="3431" spans="11:11" x14ac:dyDescent="0.3">
      <c r="K3431" s="7"/>
    </row>
    <row r="3432" spans="11:11" x14ac:dyDescent="0.3">
      <c r="K3432" s="7"/>
    </row>
    <row r="3433" spans="11:11" x14ac:dyDescent="0.3">
      <c r="K3433" s="7"/>
    </row>
    <row r="3434" spans="11:11" x14ac:dyDescent="0.3">
      <c r="K3434" s="7"/>
    </row>
    <row r="3435" spans="11:11" x14ac:dyDescent="0.3">
      <c r="K3435" s="7"/>
    </row>
    <row r="3436" spans="11:11" x14ac:dyDescent="0.3">
      <c r="K3436" s="7"/>
    </row>
    <row r="3437" spans="11:11" x14ac:dyDescent="0.3">
      <c r="K3437" s="7"/>
    </row>
    <row r="3438" spans="11:11" x14ac:dyDescent="0.3">
      <c r="K3438" s="7"/>
    </row>
    <row r="3439" spans="11:11" x14ac:dyDescent="0.3">
      <c r="K3439" s="7"/>
    </row>
    <row r="3440" spans="11:11" x14ac:dyDescent="0.3">
      <c r="K3440" s="7"/>
    </row>
    <row r="3441" spans="11:11" x14ac:dyDescent="0.3">
      <c r="K3441" s="7"/>
    </row>
    <row r="3442" spans="11:11" x14ac:dyDescent="0.3">
      <c r="K3442" s="7"/>
    </row>
    <row r="3443" spans="11:11" x14ac:dyDescent="0.3">
      <c r="K3443" s="7"/>
    </row>
    <row r="3444" spans="11:11" x14ac:dyDescent="0.3">
      <c r="K3444" s="7"/>
    </row>
    <row r="3445" spans="11:11" x14ac:dyDescent="0.3">
      <c r="K3445" s="7"/>
    </row>
    <row r="3446" spans="11:11" x14ac:dyDescent="0.3">
      <c r="K3446" s="7"/>
    </row>
    <row r="3447" spans="11:11" x14ac:dyDescent="0.3">
      <c r="K3447" s="7"/>
    </row>
    <row r="3448" spans="11:11" x14ac:dyDescent="0.3">
      <c r="K3448" s="7"/>
    </row>
    <row r="3449" spans="11:11" x14ac:dyDescent="0.3">
      <c r="K3449" s="7"/>
    </row>
    <row r="3450" spans="11:11" x14ac:dyDescent="0.3">
      <c r="K3450" s="7"/>
    </row>
    <row r="3451" spans="11:11" x14ac:dyDescent="0.3">
      <c r="K3451" s="7"/>
    </row>
    <row r="3452" spans="11:11" x14ac:dyDescent="0.3">
      <c r="K3452" s="7"/>
    </row>
    <row r="3453" spans="11:11" x14ac:dyDescent="0.3">
      <c r="K3453" s="7"/>
    </row>
    <row r="3454" spans="11:11" x14ac:dyDescent="0.3">
      <c r="K3454" s="7"/>
    </row>
    <row r="3455" spans="11:11" x14ac:dyDescent="0.3">
      <c r="K3455" s="7"/>
    </row>
    <row r="3456" spans="11:11" x14ac:dyDescent="0.3">
      <c r="K3456" s="7"/>
    </row>
    <row r="3457" spans="11:11" x14ac:dyDescent="0.3">
      <c r="K3457" s="7"/>
    </row>
    <row r="3458" spans="11:11" x14ac:dyDescent="0.3">
      <c r="K3458" s="7"/>
    </row>
    <row r="3459" spans="11:11" x14ac:dyDescent="0.3">
      <c r="K3459" s="7"/>
    </row>
    <row r="3460" spans="11:11" x14ac:dyDescent="0.3">
      <c r="K3460" s="7"/>
    </row>
    <row r="3461" spans="11:11" x14ac:dyDescent="0.3">
      <c r="K3461" s="7"/>
    </row>
    <row r="3462" spans="11:11" x14ac:dyDescent="0.3">
      <c r="K3462" s="7"/>
    </row>
    <row r="3463" spans="11:11" x14ac:dyDescent="0.3">
      <c r="K3463" s="7"/>
    </row>
    <row r="3464" spans="11:11" x14ac:dyDescent="0.3">
      <c r="K3464" s="7"/>
    </row>
    <row r="3465" spans="11:11" x14ac:dyDescent="0.3">
      <c r="K3465" s="7"/>
    </row>
    <row r="3466" spans="11:11" x14ac:dyDescent="0.3">
      <c r="K3466" s="7"/>
    </row>
    <row r="3467" spans="11:11" x14ac:dyDescent="0.3">
      <c r="K3467" s="7"/>
    </row>
    <row r="3468" spans="11:11" x14ac:dyDescent="0.3">
      <c r="K3468" s="7"/>
    </row>
    <row r="3469" spans="11:11" x14ac:dyDescent="0.3">
      <c r="K3469" s="7"/>
    </row>
    <row r="3470" spans="11:11" x14ac:dyDescent="0.3">
      <c r="K3470" s="7"/>
    </row>
    <row r="3471" spans="11:11" x14ac:dyDescent="0.3">
      <c r="K3471" s="7"/>
    </row>
    <row r="3472" spans="11:11" x14ac:dyDescent="0.3">
      <c r="K3472" s="7"/>
    </row>
    <row r="3473" spans="11:11" x14ac:dyDescent="0.3">
      <c r="K3473" s="7"/>
    </row>
    <row r="3474" spans="11:11" x14ac:dyDescent="0.3">
      <c r="K3474" s="7"/>
    </row>
    <row r="3475" spans="11:11" x14ac:dyDescent="0.3">
      <c r="K3475" s="7"/>
    </row>
    <row r="3476" spans="11:11" x14ac:dyDescent="0.3">
      <c r="K3476" s="7"/>
    </row>
    <row r="3477" spans="11:11" x14ac:dyDescent="0.3">
      <c r="K3477" s="7"/>
    </row>
    <row r="3478" spans="11:11" x14ac:dyDescent="0.3">
      <c r="K3478" s="7"/>
    </row>
    <row r="3479" spans="11:11" x14ac:dyDescent="0.3">
      <c r="K3479" s="7"/>
    </row>
    <row r="3480" spans="11:11" x14ac:dyDescent="0.3">
      <c r="K3480" s="7"/>
    </row>
    <row r="3481" spans="11:11" x14ac:dyDescent="0.3">
      <c r="K3481" s="7"/>
    </row>
    <row r="3482" spans="11:11" x14ac:dyDescent="0.3">
      <c r="K3482" s="7"/>
    </row>
    <row r="3483" spans="11:11" x14ac:dyDescent="0.3">
      <c r="K3483" s="7"/>
    </row>
    <row r="3484" spans="11:11" x14ac:dyDescent="0.3">
      <c r="K3484" s="7"/>
    </row>
    <row r="3485" spans="11:11" x14ac:dyDescent="0.3">
      <c r="K3485" s="7"/>
    </row>
    <row r="3486" spans="11:11" x14ac:dyDescent="0.3">
      <c r="K3486" s="7"/>
    </row>
    <row r="3487" spans="11:11" x14ac:dyDescent="0.3">
      <c r="K3487" s="7"/>
    </row>
    <row r="3488" spans="11:11" x14ac:dyDescent="0.3">
      <c r="K3488" s="7"/>
    </row>
    <row r="3489" spans="11:11" x14ac:dyDescent="0.3">
      <c r="K3489" s="7"/>
    </row>
    <row r="3490" spans="11:11" x14ac:dyDescent="0.3">
      <c r="K3490" s="7"/>
    </row>
    <row r="3491" spans="11:11" x14ac:dyDescent="0.3">
      <c r="K3491" s="7"/>
    </row>
    <row r="3492" spans="11:11" x14ac:dyDescent="0.3">
      <c r="K3492" s="7"/>
    </row>
    <row r="3493" spans="11:11" x14ac:dyDescent="0.3">
      <c r="K3493" s="7"/>
    </row>
    <row r="3494" spans="11:11" x14ac:dyDescent="0.3">
      <c r="K3494" s="7"/>
    </row>
    <row r="3495" spans="11:11" x14ac:dyDescent="0.3">
      <c r="K3495" s="7"/>
    </row>
    <row r="3496" spans="11:11" x14ac:dyDescent="0.3">
      <c r="K3496" s="7"/>
    </row>
    <row r="3497" spans="11:11" x14ac:dyDescent="0.3">
      <c r="K3497" s="7"/>
    </row>
    <row r="3498" spans="11:11" x14ac:dyDescent="0.3">
      <c r="K3498" s="7"/>
    </row>
    <row r="3499" spans="11:11" x14ac:dyDescent="0.3">
      <c r="K3499" s="7"/>
    </row>
    <row r="3500" spans="11:11" x14ac:dyDescent="0.3">
      <c r="K3500" s="7"/>
    </row>
    <row r="3501" spans="11:11" x14ac:dyDescent="0.3">
      <c r="K3501" s="7"/>
    </row>
    <row r="3502" spans="11:11" x14ac:dyDescent="0.3">
      <c r="K3502" s="7"/>
    </row>
    <row r="3503" spans="11:11" x14ac:dyDescent="0.3">
      <c r="K3503" s="7"/>
    </row>
    <row r="3504" spans="11:11" x14ac:dyDescent="0.3">
      <c r="K3504" s="7"/>
    </row>
    <row r="3505" spans="11:11" x14ac:dyDescent="0.3">
      <c r="K3505" s="7"/>
    </row>
    <row r="3506" spans="11:11" x14ac:dyDescent="0.3">
      <c r="K3506" s="7"/>
    </row>
    <row r="3507" spans="11:11" x14ac:dyDescent="0.3">
      <c r="K3507" s="7"/>
    </row>
    <row r="3508" spans="11:11" x14ac:dyDescent="0.3">
      <c r="K3508" s="7"/>
    </row>
    <row r="3509" spans="11:11" x14ac:dyDescent="0.3">
      <c r="K3509" s="7"/>
    </row>
    <row r="3510" spans="11:11" x14ac:dyDescent="0.3">
      <c r="K3510" s="7"/>
    </row>
    <row r="3511" spans="11:11" x14ac:dyDescent="0.3">
      <c r="K3511" s="7"/>
    </row>
    <row r="3512" spans="11:11" x14ac:dyDescent="0.3">
      <c r="K3512" s="7"/>
    </row>
    <row r="3513" spans="11:11" x14ac:dyDescent="0.3">
      <c r="K3513" s="7"/>
    </row>
    <row r="3514" spans="11:11" x14ac:dyDescent="0.3">
      <c r="K3514" s="7"/>
    </row>
    <row r="3515" spans="11:11" x14ac:dyDescent="0.3">
      <c r="K3515" s="7"/>
    </row>
    <row r="3516" spans="11:11" x14ac:dyDescent="0.3">
      <c r="K3516" s="7"/>
    </row>
    <row r="3517" spans="11:11" x14ac:dyDescent="0.3">
      <c r="K3517" s="7"/>
    </row>
    <row r="3518" spans="11:11" x14ac:dyDescent="0.3">
      <c r="K3518" s="7"/>
    </row>
    <row r="3519" spans="11:11" x14ac:dyDescent="0.3">
      <c r="K3519" s="7"/>
    </row>
    <row r="3520" spans="11:11" x14ac:dyDescent="0.3">
      <c r="K3520" s="7"/>
    </row>
    <row r="3521" spans="11:11" x14ac:dyDescent="0.3">
      <c r="K3521" s="7"/>
    </row>
    <row r="3522" spans="11:11" x14ac:dyDescent="0.3">
      <c r="K3522" s="7"/>
    </row>
    <row r="3523" spans="11:11" x14ac:dyDescent="0.3">
      <c r="K3523" s="7"/>
    </row>
    <row r="3524" spans="11:11" x14ac:dyDescent="0.3">
      <c r="K3524" s="7"/>
    </row>
    <row r="3525" spans="11:11" x14ac:dyDescent="0.3">
      <c r="K3525" s="7"/>
    </row>
    <row r="3526" spans="11:11" x14ac:dyDescent="0.3">
      <c r="K3526" s="7"/>
    </row>
    <row r="3527" spans="11:11" x14ac:dyDescent="0.3">
      <c r="K3527" s="7"/>
    </row>
    <row r="3528" spans="11:11" x14ac:dyDescent="0.3">
      <c r="K3528" s="7"/>
    </row>
    <row r="3529" spans="11:11" x14ac:dyDescent="0.3">
      <c r="K3529" s="7"/>
    </row>
    <row r="3530" spans="11:11" x14ac:dyDescent="0.3">
      <c r="K3530" s="7"/>
    </row>
    <row r="3531" spans="11:11" x14ac:dyDescent="0.3">
      <c r="K3531" s="7"/>
    </row>
    <row r="3532" spans="11:11" x14ac:dyDescent="0.3">
      <c r="K3532" s="7"/>
    </row>
    <row r="3533" spans="11:11" x14ac:dyDescent="0.3">
      <c r="K3533" s="7"/>
    </row>
    <row r="3534" spans="11:11" x14ac:dyDescent="0.3">
      <c r="K3534" s="7"/>
    </row>
    <row r="3535" spans="11:11" x14ac:dyDescent="0.3">
      <c r="K3535" s="7"/>
    </row>
    <row r="3536" spans="11:11" x14ac:dyDescent="0.3">
      <c r="K3536" s="7"/>
    </row>
    <row r="3537" spans="11:11" x14ac:dyDescent="0.3">
      <c r="K3537" s="7"/>
    </row>
    <row r="3538" spans="11:11" x14ac:dyDescent="0.3">
      <c r="K3538" s="7"/>
    </row>
    <row r="3539" spans="11:11" x14ac:dyDescent="0.3">
      <c r="K3539" s="7"/>
    </row>
    <row r="3540" spans="11:11" x14ac:dyDescent="0.3">
      <c r="K3540" s="7"/>
    </row>
    <row r="3541" spans="11:11" x14ac:dyDescent="0.3">
      <c r="K3541" s="7"/>
    </row>
    <row r="3542" spans="11:11" x14ac:dyDescent="0.3">
      <c r="K3542" s="7"/>
    </row>
    <row r="3543" spans="11:11" x14ac:dyDescent="0.3">
      <c r="K3543" s="7"/>
    </row>
    <row r="3544" spans="11:11" x14ac:dyDescent="0.3">
      <c r="K3544" s="7"/>
    </row>
    <row r="3545" spans="11:11" x14ac:dyDescent="0.3">
      <c r="K3545" s="7"/>
    </row>
    <row r="3546" spans="11:11" x14ac:dyDescent="0.3">
      <c r="K3546" s="7"/>
    </row>
    <row r="3547" spans="11:11" x14ac:dyDescent="0.3">
      <c r="K3547" s="7"/>
    </row>
    <row r="3548" spans="11:11" x14ac:dyDescent="0.3">
      <c r="K3548" s="7"/>
    </row>
    <row r="3549" spans="11:11" x14ac:dyDescent="0.3">
      <c r="K3549" s="7"/>
    </row>
    <row r="3550" spans="11:11" x14ac:dyDescent="0.3">
      <c r="K3550" s="7"/>
    </row>
    <row r="3551" spans="11:11" x14ac:dyDescent="0.3">
      <c r="K3551" s="7"/>
    </row>
    <row r="3552" spans="11:11" x14ac:dyDescent="0.3">
      <c r="K3552" s="7"/>
    </row>
    <row r="3553" spans="11:11" x14ac:dyDescent="0.3">
      <c r="K3553" s="7"/>
    </row>
    <row r="3554" spans="11:11" x14ac:dyDescent="0.3">
      <c r="K3554" s="7"/>
    </row>
    <row r="3555" spans="11:11" x14ac:dyDescent="0.3">
      <c r="K3555" s="7"/>
    </row>
    <row r="3556" spans="11:11" x14ac:dyDescent="0.3">
      <c r="K3556" s="7"/>
    </row>
    <row r="3557" spans="11:11" x14ac:dyDescent="0.3">
      <c r="K3557" s="7"/>
    </row>
    <row r="3558" spans="11:11" x14ac:dyDescent="0.3">
      <c r="K3558" s="7"/>
    </row>
    <row r="3559" spans="11:11" x14ac:dyDescent="0.3">
      <c r="K3559" s="7"/>
    </row>
    <row r="3560" spans="11:11" x14ac:dyDescent="0.3">
      <c r="K3560" s="7"/>
    </row>
    <row r="3561" spans="11:11" x14ac:dyDescent="0.3">
      <c r="K3561" s="7"/>
    </row>
    <row r="3562" spans="11:11" x14ac:dyDescent="0.3">
      <c r="K3562" s="7"/>
    </row>
    <row r="3563" spans="11:11" x14ac:dyDescent="0.3">
      <c r="K3563" s="7"/>
    </row>
    <row r="3564" spans="11:11" x14ac:dyDescent="0.3">
      <c r="K3564" s="7"/>
    </row>
    <row r="3565" spans="11:11" x14ac:dyDescent="0.3">
      <c r="K3565" s="7"/>
    </row>
    <row r="3566" spans="11:11" x14ac:dyDescent="0.3">
      <c r="K3566" s="7"/>
    </row>
    <row r="3567" spans="11:11" x14ac:dyDescent="0.3">
      <c r="K3567" s="7"/>
    </row>
    <row r="3568" spans="11:11" x14ac:dyDescent="0.3">
      <c r="K3568" s="7"/>
    </row>
    <row r="3569" spans="11:11" x14ac:dyDescent="0.3">
      <c r="K3569" s="7"/>
    </row>
    <row r="3570" spans="11:11" x14ac:dyDescent="0.3">
      <c r="K3570" s="7"/>
    </row>
    <row r="3571" spans="11:11" x14ac:dyDescent="0.3">
      <c r="K3571" s="7"/>
    </row>
    <row r="3572" spans="11:11" x14ac:dyDescent="0.3">
      <c r="K3572" s="7"/>
    </row>
    <row r="3573" spans="11:11" x14ac:dyDescent="0.3">
      <c r="K3573" s="7"/>
    </row>
    <row r="3574" spans="11:11" x14ac:dyDescent="0.3">
      <c r="K3574" s="7"/>
    </row>
    <row r="3575" spans="11:11" x14ac:dyDescent="0.3">
      <c r="K3575" s="7"/>
    </row>
    <row r="3576" spans="11:11" x14ac:dyDescent="0.3">
      <c r="K3576" s="7"/>
    </row>
    <row r="3577" spans="11:11" x14ac:dyDescent="0.3">
      <c r="K3577" s="7"/>
    </row>
    <row r="3578" spans="11:11" x14ac:dyDescent="0.3">
      <c r="K3578" s="7"/>
    </row>
    <row r="3579" spans="11:11" x14ac:dyDescent="0.3">
      <c r="K3579" s="7"/>
    </row>
    <row r="3580" spans="11:11" x14ac:dyDescent="0.3">
      <c r="K3580" s="7"/>
    </row>
    <row r="3581" spans="11:11" x14ac:dyDescent="0.3">
      <c r="K3581" s="7"/>
    </row>
    <row r="3582" spans="11:11" x14ac:dyDescent="0.3">
      <c r="K3582" s="7"/>
    </row>
    <row r="3583" spans="11:11" x14ac:dyDescent="0.3">
      <c r="K3583" s="7"/>
    </row>
    <row r="3584" spans="11:11" x14ac:dyDescent="0.3">
      <c r="K3584" s="7"/>
    </row>
    <row r="3585" spans="11:11" x14ac:dyDescent="0.3">
      <c r="K3585" s="7"/>
    </row>
    <row r="3586" spans="11:11" x14ac:dyDescent="0.3">
      <c r="K3586" s="7"/>
    </row>
    <row r="3587" spans="11:11" x14ac:dyDescent="0.3">
      <c r="K3587" s="7"/>
    </row>
    <row r="3588" spans="11:11" x14ac:dyDescent="0.3">
      <c r="K3588" s="7"/>
    </row>
    <row r="3589" spans="11:11" x14ac:dyDescent="0.3">
      <c r="K3589" s="7"/>
    </row>
    <row r="3590" spans="11:11" x14ac:dyDescent="0.3">
      <c r="K3590" s="7"/>
    </row>
    <row r="3591" spans="11:11" x14ac:dyDescent="0.3">
      <c r="K3591" s="7"/>
    </row>
    <row r="3592" spans="11:11" x14ac:dyDescent="0.3">
      <c r="K3592" s="7"/>
    </row>
    <row r="3593" spans="11:11" x14ac:dyDescent="0.3">
      <c r="K3593" s="7"/>
    </row>
    <row r="3594" spans="11:11" x14ac:dyDescent="0.3">
      <c r="K3594" s="7"/>
    </row>
    <row r="3595" spans="11:11" x14ac:dyDescent="0.3">
      <c r="K3595" s="7"/>
    </row>
    <row r="3596" spans="11:11" x14ac:dyDescent="0.3">
      <c r="K3596" s="7"/>
    </row>
    <row r="3597" spans="11:11" x14ac:dyDescent="0.3">
      <c r="K3597" s="7"/>
    </row>
    <row r="3598" spans="11:11" x14ac:dyDescent="0.3">
      <c r="K3598" s="7"/>
    </row>
    <row r="3599" spans="11:11" x14ac:dyDescent="0.3">
      <c r="K3599" s="7"/>
    </row>
    <row r="3600" spans="11:11" x14ac:dyDescent="0.3">
      <c r="K3600" s="7"/>
    </row>
    <row r="3601" spans="11:11" x14ac:dyDescent="0.3">
      <c r="K3601" s="7"/>
    </row>
    <row r="3602" spans="11:11" x14ac:dyDescent="0.3">
      <c r="K3602" s="7"/>
    </row>
    <row r="3603" spans="11:11" x14ac:dyDescent="0.3">
      <c r="K3603" s="7"/>
    </row>
    <row r="3604" spans="11:11" x14ac:dyDescent="0.3">
      <c r="K3604" s="7"/>
    </row>
    <row r="3605" spans="11:11" x14ac:dyDescent="0.3">
      <c r="K3605" s="7"/>
    </row>
    <row r="3606" spans="11:11" x14ac:dyDescent="0.3">
      <c r="K3606" s="7"/>
    </row>
    <row r="3607" spans="11:11" x14ac:dyDescent="0.3">
      <c r="K3607" s="7"/>
    </row>
    <row r="3608" spans="11:11" x14ac:dyDescent="0.3">
      <c r="K3608" s="7"/>
    </row>
    <row r="3609" spans="11:11" x14ac:dyDescent="0.3">
      <c r="K3609" s="7"/>
    </row>
    <row r="3610" spans="11:11" x14ac:dyDescent="0.3">
      <c r="K3610" s="7"/>
    </row>
    <row r="3611" spans="11:11" x14ac:dyDescent="0.3">
      <c r="K3611" s="7"/>
    </row>
    <row r="3612" spans="11:11" x14ac:dyDescent="0.3">
      <c r="K3612" s="7"/>
    </row>
    <row r="3613" spans="11:11" x14ac:dyDescent="0.3">
      <c r="K3613" s="7"/>
    </row>
    <row r="3614" spans="11:11" x14ac:dyDescent="0.3">
      <c r="K3614" s="7"/>
    </row>
    <row r="3615" spans="11:11" x14ac:dyDescent="0.3">
      <c r="K3615" s="7"/>
    </row>
    <row r="3616" spans="11:11" x14ac:dyDescent="0.3">
      <c r="K3616" s="7"/>
    </row>
    <row r="3617" spans="11:11" x14ac:dyDescent="0.3">
      <c r="K3617" s="7"/>
    </row>
    <row r="3618" spans="11:11" x14ac:dyDescent="0.3">
      <c r="K3618" s="7"/>
    </row>
    <row r="3619" spans="11:11" x14ac:dyDescent="0.3">
      <c r="K3619" s="7"/>
    </row>
    <row r="3620" spans="11:11" x14ac:dyDescent="0.3">
      <c r="K3620" s="7"/>
    </row>
    <row r="3621" spans="11:11" x14ac:dyDescent="0.3">
      <c r="K3621" s="7"/>
    </row>
    <row r="3622" spans="11:11" x14ac:dyDescent="0.3">
      <c r="K3622" s="7"/>
    </row>
    <row r="3623" spans="11:11" x14ac:dyDescent="0.3">
      <c r="K3623" s="7"/>
    </row>
    <row r="3624" spans="11:11" x14ac:dyDescent="0.3">
      <c r="K3624" s="7"/>
    </row>
    <row r="3625" spans="11:11" x14ac:dyDescent="0.3">
      <c r="K3625" s="7"/>
    </row>
    <row r="3626" spans="11:11" x14ac:dyDescent="0.3">
      <c r="K3626" s="7"/>
    </row>
    <row r="3627" spans="11:11" x14ac:dyDescent="0.3">
      <c r="K3627" s="7"/>
    </row>
    <row r="3628" spans="11:11" x14ac:dyDescent="0.3">
      <c r="K3628" s="7"/>
    </row>
    <row r="3629" spans="11:11" x14ac:dyDescent="0.3">
      <c r="K3629" s="7"/>
    </row>
    <row r="3630" spans="11:11" x14ac:dyDescent="0.3">
      <c r="K3630" s="7"/>
    </row>
    <row r="3631" spans="11:11" x14ac:dyDescent="0.3">
      <c r="K3631" s="7"/>
    </row>
    <row r="3632" spans="11:11" x14ac:dyDescent="0.3">
      <c r="K3632" s="7"/>
    </row>
    <row r="3633" spans="11:11" x14ac:dyDescent="0.3">
      <c r="K3633" s="7"/>
    </row>
    <row r="3634" spans="11:11" x14ac:dyDescent="0.3">
      <c r="K3634" s="7"/>
    </row>
    <row r="3635" spans="11:11" x14ac:dyDescent="0.3">
      <c r="K3635" s="7"/>
    </row>
    <row r="3636" spans="11:11" x14ac:dyDescent="0.3">
      <c r="K3636" s="7"/>
    </row>
    <row r="3637" spans="11:11" x14ac:dyDescent="0.3">
      <c r="K3637" s="7"/>
    </row>
    <row r="3638" spans="11:11" x14ac:dyDescent="0.3">
      <c r="K3638" s="7"/>
    </row>
    <row r="3639" spans="11:11" x14ac:dyDescent="0.3">
      <c r="K3639" s="7"/>
    </row>
    <row r="3640" spans="11:11" x14ac:dyDescent="0.3">
      <c r="K3640" s="7"/>
    </row>
    <row r="3641" spans="11:11" x14ac:dyDescent="0.3">
      <c r="K3641" s="7"/>
    </row>
    <row r="3642" spans="11:11" x14ac:dyDescent="0.3">
      <c r="K3642" s="7"/>
    </row>
    <row r="3643" spans="11:11" x14ac:dyDescent="0.3">
      <c r="K3643" s="7"/>
    </row>
    <row r="3644" spans="11:11" x14ac:dyDescent="0.3">
      <c r="K3644" s="7"/>
    </row>
    <row r="3645" spans="11:11" x14ac:dyDescent="0.3">
      <c r="K3645" s="7"/>
    </row>
    <row r="3646" spans="11:11" x14ac:dyDescent="0.3">
      <c r="K3646" s="7"/>
    </row>
    <row r="3647" spans="11:11" x14ac:dyDescent="0.3">
      <c r="K3647" s="7"/>
    </row>
    <row r="3648" spans="11:11" x14ac:dyDescent="0.3">
      <c r="K3648" s="7"/>
    </row>
    <row r="3649" spans="11:11" x14ac:dyDescent="0.3">
      <c r="K3649" s="7"/>
    </row>
    <row r="3650" spans="11:11" x14ac:dyDescent="0.3">
      <c r="K3650" s="7"/>
    </row>
    <row r="3651" spans="11:11" x14ac:dyDescent="0.3">
      <c r="K3651" s="7"/>
    </row>
    <row r="3652" spans="11:11" x14ac:dyDescent="0.3">
      <c r="K3652" s="7"/>
    </row>
    <row r="3653" spans="11:11" x14ac:dyDescent="0.3">
      <c r="K3653" s="7"/>
    </row>
    <row r="3654" spans="11:11" x14ac:dyDescent="0.3">
      <c r="K3654" s="7"/>
    </row>
    <row r="3655" spans="11:11" x14ac:dyDescent="0.3">
      <c r="K3655" s="7"/>
    </row>
    <row r="3656" spans="11:11" x14ac:dyDescent="0.3">
      <c r="K3656" s="7"/>
    </row>
    <row r="3657" spans="11:11" x14ac:dyDescent="0.3">
      <c r="K3657" s="7"/>
    </row>
    <row r="3658" spans="11:11" x14ac:dyDescent="0.3">
      <c r="K3658" s="7"/>
    </row>
    <row r="3659" spans="11:11" x14ac:dyDescent="0.3">
      <c r="K3659" s="7"/>
    </row>
    <row r="3660" spans="11:11" x14ac:dyDescent="0.3">
      <c r="K3660" s="7"/>
    </row>
    <row r="3661" spans="11:11" x14ac:dyDescent="0.3">
      <c r="K3661" s="7"/>
    </row>
    <row r="3662" spans="11:11" x14ac:dyDescent="0.3">
      <c r="K3662" s="7"/>
    </row>
    <row r="3663" spans="11:11" x14ac:dyDescent="0.3">
      <c r="K3663" s="7"/>
    </row>
    <row r="3664" spans="11:11" x14ac:dyDescent="0.3">
      <c r="K3664" s="7"/>
    </row>
    <row r="3665" spans="11:11" x14ac:dyDescent="0.3">
      <c r="K3665" s="7"/>
    </row>
    <row r="3666" spans="11:11" x14ac:dyDescent="0.3">
      <c r="K3666" s="7"/>
    </row>
    <row r="3667" spans="11:11" x14ac:dyDescent="0.3">
      <c r="K3667" s="7"/>
    </row>
    <row r="3668" spans="11:11" x14ac:dyDescent="0.3">
      <c r="K3668" s="7"/>
    </row>
    <row r="3669" spans="11:11" x14ac:dyDescent="0.3">
      <c r="K3669" s="7"/>
    </row>
    <row r="3670" spans="11:11" x14ac:dyDescent="0.3">
      <c r="K3670" s="7"/>
    </row>
    <row r="3671" spans="11:11" x14ac:dyDescent="0.3">
      <c r="K3671" s="7"/>
    </row>
    <row r="3672" spans="11:11" x14ac:dyDescent="0.3">
      <c r="K3672" s="7"/>
    </row>
    <row r="3673" spans="11:11" x14ac:dyDescent="0.3">
      <c r="K3673" s="7"/>
    </row>
    <row r="3674" spans="11:11" x14ac:dyDescent="0.3">
      <c r="K3674" s="7"/>
    </row>
    <row r="3675" spans="11:11" x14ac:dyDescent="0.3">
      <c r="K3675" s="7"/>
    </row>
    <row r="3676" spans="11:11" x14ac:dyDescent="0.3">
      <c r="K3676" s="7"/>
    </row>
    <row r="3677" spans="11:11" x14ac:dyDescent="0.3">
      <c r="K3677" s="7"/>
    </row>
    <row r="3678" spans="11:11" x14ac:dyDescent="0.3">
      <c r="K3678" s="7"/>
    </row>
    <row r="3679" spans="11:11" x14ac:dyDescent="0.3">
      <c r="K3679" s="7"/>
    </row>
    <row r="3680" spans="11:11" x14ac:dyDescent="0.3">
      <c r="K3680" s="7"/>
    </row>
    <row r="3681" spans="11:11" x14ac:dyDescent="0.3">
      <c r="K3681" s="7"/>
    </row>
    <row r="3682" spans="11:11" x14ac:dyDescent="0.3">
      <c r="K3682" s="7"/>
    </row>
    <row r="3683" spans="11:11" x14ac:dyDescent="0.3">
      <c r="K3683" s="7"/>
    </row>
    <row r="3684" spans="11:11" x14ac:dyDescent="0.3">
      <c r="K3684" s="7"/>
    </row>
    <row r="3685" spans="11:11" x14ac:dyDescent="0.3">
      <c r="K3685" s="7"/>
    </row>
    <row r="3686" spans="11:11" x14ac:dyDescent="0.3">
      <c r="K3686" s="7"/>
    </row>
    <row r="3687" spans="11:11" x14ac:dyDescent="0.3">
      <c r="K3687" s="7"/>
    </row>
    <row r="3688" spans="11:11" x14ac:dyDescent="0.3">
      <c r="K3688" s="7"/>
    </row>
    <row r="3689" spans="11:11" x14ac:dyDescent="0.3">
      <c r="K3689" s="7"/>
    </row>
    <row r="3690" spans="11:11" x14ac:dyDescent="0.3">
      <c r="K3690" s="7"/>
    </row>
    <row r="3691" spans="11:11" x14ac:dyDescent="0.3">
      <c r="K3691" s="7"/>
    </row>
    <row r="3692" spans="11:11" x14ac:dyDescent="0.3">
      <c r="K3692" s="7"/>
    </row>
    <row r="3693" spans="11:11" x14ac:dyDescent="0.3">
      <c r="K3693" s="7"/>
    </row>
    <row r="3694" spans="11:11" x14ac:dyDescent="0.3">
      <c r="K3694" s="7"/>
    </row>
    <row r="3695" spans="11:11" x14ac:dyDescent="0.3">
      <c r="K3695" s="7"/>
    </row>
    <row r="3696" spans="11:11" x14ac:dyDescent="0.3">
      <c r="K3696" s="7"/>
    </row>
    <row r="3697" spans="11:11" x14ac:dyDescent="0.3">
      <c r="K3697" s="7"/>
    </row>
    <row r="3698" spans="11:11" x14ac:dyDescent="0.3">
      <c r="K3698" s="7"/>
    </row>
    <row r="3699" spans="11:11" x14ac:dyDescent="0.3">
      <c r="K3699" s="7"/>
    </row>
    <row r="3700" spans="11:11" x14ac:dyDescent="0.3">
      <c r="K3700" s="7"/>
    </row>
    <row r="3701" spans="11:11" x14ac:dyDescent="0.3">
      <c r="K3701" s="7"/>
    </row>
    <row r="3702" spans="11:11" x14ac:dyDescent="0.3">
      <c r="K3702" s="7"/>
    </row>
    <row r="3703" spans="11:11" x14ac:dyDescent="0.3">
      <c r="K3703" s="7"/>
    </row>
    <row r="3704" spans="11:11" x14ac:dyDescent="0.3">
      <c r="K3704" s="7"/>
    </row>
    <row r="3705" spans="11:11" x14ac:dyDescent="0.3">
      <c r="K3705" s="7"/>
    </row>
    <row r="3706" spans="11:11" x14ac:dyDescent="0.3">
      <c r="K3706" s="7"/>
    </row>
    <row r="3707" spans="11:11" x14ac:dyDescent="0.3">
      <c r="K3707" s="7"/>
    </row>
    <row r="3708" spans="11:11" x14ac:dyDescent="0.3">
      <c r="K3708" s="7"/>
    </row>
    <row r="3709" spans="11:11" x14ac:dyDescent="0.3">
      <c r="K3709" s="7"/>
    </row>
    <row r="3710" spans="11:11" x14ac:dyDescent="0.3">
      <c r="K3710" s="7"/>
    </row>
    <row r="3711" spans="11:11" x14ac:dyDescent="0.3">
      <c r="K3711" s="7"/>
    </row>
    <row r="3712" spans="11:11" x14ac:dyDescent="0.3">
      <c r="K3712" s="7"/>
    </row>
    <row r="3713" spans="11:11" x14ac:dyDescent="0.3">
      <c r="K3713" s="7"/>
    </row>
    <row r="3714" spans="11:11" x14ac:dyDescent="0.3">
      <c r="K3714" s="7"/>
    </row>
    <row r="3715" spans="11:11" x14ac:dyDescent="0.3">
      <c r="K3715" s="7"/>
    </row>
    <row r="3716" spans="11:11" x14ac:dyDescent="0.3">
      <c r="K3716" s="7"/>
    </row>
    <row r="3717" spans="11:11" x14ac:dyDescent="0.3">
      <c r="K3717" s="7"/>
    </row>
    <row r="3718" spans="11:11" x14ac:dyDescent="0.3">
      <c r="K3718" s="7"/>
    </row>
    <row r="3719" spans="11:11" x14ac:dyDescent="0.3">
      <c r="K3719" s="7"/>
    </row>
    <row r="3720" spans="11:11" x14ac:dyDescent="0.3">
      <c r="K3720" s="7"/>
    </row>
    <row r="3721" spans="11:11" x14ac:dyDescent="0.3">
      <c r="K3721" s="7"/>
    </row>
    <row r="3722" spans="11:11" x14ac:dyDescent="0.3">
      <c r="K3722" s="7"/>
    </row>
    <row r="3723" spans="11:11" x14ac:dyDescent="0.3">
      <c r="K3723" s="7"/>
    </row>
    <row r="3724" spans="11:11" x14ac:dyDescent="0.3">
      <c r="K3724" s="7"/>
    </row>
    <row r="3725" spans="11:11" x14ac:dyDescent="0.3">
      <c r="K3725" s="7"/>
    </row>
    <row r="3726" spans="11:11" x14ac:dyDescent="0.3">
      <c r="K3726" s="7"/>
    </row>
    <row r="3727" spans="11:11" x14ac:dyDescent="0.3">
      <c r="K3727" s="7"/>
    </row>
    <row r="3728" spans="11:11" x14ac:dyDescent="0.3">
      <c r="K3728" s="7"/>
    </row>
    <row r="3729" spans="11:11" x14ac:dyDescent="0.3">
      <c r="K3729" s="7"/>
    </row>
    <row r="3730" spans="11:11" x14ac:dyDescent="0.3">
      <c r="K3730" s="7"/>
    </row>
    <row r="3731" spans="11:11" x14ac:dyDescent="0.3">
      <c r="K3731" s="7"/>
    </row>
    <row r="3732" spans="11:11" x14ac:dyDescent="0.3">
      <c r="K3732" s="7"/>
    </row>
    <row r="3733" spans="11:11" x14ac:dyDescent="0.3">
      <c r="K3733" s="7"/>
    </row>
    <row r="3734" spans="11:11" x14ac:dyDescent="0.3">
      <c r="K3734" s="7"/>
    </row>
    <row r="3735" spans="11:11" x14ac:dyDescent="0.3">
      <c r="K3735" s="7"/>
    </row>
    <row r="3736" spans="11:11" x14ac:dyDescent="0.3">
      <c r="K3736" s="7"/>
    </row>
    <row r="3737" spans="11:11" x14ac:dyDescent="0.3">
      <c r="K3737" s="7"/>
    </row>
    <row r="3738" spans="11:11" x14ac:dyDescent="0.3">
      <c r="K3738" s="7"/>
    </row>
    <row r="3739" spans="11:11" x14ac:dyDescent="0.3">
      <c r="K3739" s="7"/>
    </row>
    <row r="3740" spans="11:11" x14ac:dyDescent="0.3">
      <c r="K3740" s="7"/>
    </row>
    <row r="3741" spans="11:11" x14ac:dyDescent="0.3">
      <c r="K3741" s="7"/>
    </row>
    <row r="3742" spans="11:11" x14ac:dyDescent="0.3">
      <c r="K3742" s="7"/>
    </row>
    <row r="3743" spans="11:11" x14ac:dyDescent="0.3">
      <c r="K3743" s="7"/>
    </row>
    <row r="3744" spans="11:11" x14ac:dyDescent="0.3">
      <c r="K3744" s="7"/>
    </row>
    <row r="3745" spans="11:11" x14ac:dyDescent="0.3">
      <c r="K3745" s="7"/>
    </row>
    <row r="3746" spans="11:11" x14ac:dyDescent="0.3">
      <c r="K3746" s="7"/>
    </row>
    <row r="3747" spans="11:11" x14ac:dyDescent="0.3">
      <c r="K3747" s="7"/>
    </row>
    <row r="3748" spans="11:11" x14ac:dyDescent="0.3">
      <c r="K3748" s="7"/>
    </row>
    <row r="3749" spans="11:11" x14ac:dyDescent="0.3">
      <c r="K3749" s="7"/>
    </row>
    <row r="3750" spans="11:11" x14ac:dyDescent="0.3">
      <c r="K3750" s="7"/>
    </row>
    <row r="3751" spans="11:11" x14ac:dyDescent="0.3">
      <c r="K3751" s="7"/>
    </row>
    <row r="3752" spans="11:11" x14ac:dyDescent="0.3">
      <c r="K3752" s="7"/>
    </row>
    <row r="3753" spans="11:11" x14ac:dyDescent="0.3">
      <c r="K3753" s="7"/>
    </row>
    <row r="3754" spans="11:11" x14ac:dyDescent="0.3">
      <c r="K3754" s="7"/>
    </row>
    <row r="3755" spans="11:11" x14ac:dyDescent="0.3">
      <c r="K3755" s="7"/>
    </row>
    <row r="3756" spans="11:11" x14ac:dyDescent="0.3">
      <c r="K3756" s="7"/>
    </row>
    <row r="3757" spans="11:11" x14ac:dyDescent="0.3">
      <c r="K3757" s="7"/>
    </row>
    <row r="3758" spans="11:11" x14ac:dyDescent="0.3">
      <c r="K3758" s="7"/>
    </row>
    <row r="3759" spans="11:11" x14ac:dyDescent="0.3">
      <c r="K3759" s="7"/>
    </row>
    <row r="3760" spans="11:11" x14ac:dyDescent="0.3">
      <c r="K3760" s="7"/>
    </row>
    <row r="3761" spans="11:11" x14ac:dyDescent="0.3">
      <c r="K3761" s="7"/>
    </row>
    <row r="3762" spans="11:11" x14ac:dyDescent="0.3">
      <c r="K3762" s="7"/>
    </row>
    <row r="3763" spans="11:11" x14ac:dyDescent="0.3">
      <c r="K3763" s="7"/>
    </row>
    <row r="3764" spans="11:11" x14ac:dyDescent="0.3">
      <c r="K3764" s="7"/>
    </row>
    <row r="3765" spans="11:11" x14ac:dyDescent="0.3">
      <c r="K3765" s="7"/>
    </row>
    <row r="3766" spans="11:11" x14ac:dyDescent="0.3">
      <c r="K3766" s="7"/>
    </row>
    <row r="3767" spans="11:11" x14ac:dyDescent="0.3">
      <c r="K3767" s="7"/>
    </row>
    <row r="3768" spans="11:11" x14ac:dyDescent="0.3">
      <c r="K3768" s="7"/>
    </row>
    <row r="3769" spans="11:11" x14ac:dyDescent="0.3">
      <c r="K3769" s="7"/>
    </row>
    <row r="3770" spans="11:11" x14ac:dyDescent="0.3">
      <c r="K3770" s="7"/>
    </row>
    <row r="3771" spans="11:11" x14ac:dyDescent="0.3">
      <c r="K3771" s="7"/>
    </row>
    <row r="3772" spans="11:11" x14ac:dyDescent="0.3">
      <c r="K3772" s="7"/>
    </row>
    <row r="3773" spans="11:11" x14ac:dyDescent="0.3">
      <c r="K3773" s="7"/>
    </row>
    <row r="3774" spans="11:11" x14ac:dyDescent="0.3">
      <c r="K3774" s="7"/>
    </row>
    <row r="3775" spans="11:11" x14ac:dyDescent="0.3">
      <c r="K3775" s="7"/>
    </row>
    <row r="3776" spans="11:11" x14ac:dyDescent="0.3">
      <c r="K3776" s="7"/>
    </row>
    <row r="3777" spans="11:11" x14ac:dyDescent="0.3">
      <c r="K3777" s="7"/>
    </row>
    <row r="3778" spans="11:11" x14ac:dyDescent="0.3">
      <c r="K3778" s="7"/>
    </row>
    <row r="3779" spans="11:11" x14ac:dyDescent="0.3">
      <c r="K3779" s="7"/>
    </row>
    <row r="3780" spans="11:11" x14ac:dyDescent="0.3">
      <c r="K3780" s="7"/>
    </row>
    <row r="3781" spans="11:11" x14ac:dyDescent="0.3">
      <c r="K3781" s="7"/>
    </row>
    <row r="3782" spans="11:11" x14ac:dyDescent="0.3">
      <c r="K3782" s="7"/>
    </row>
    <row r="3783" spans="11:11" x14ac:dyDescent="0.3">
      <c r="K3783" s="7"/>
    </row>
    <row r="3784" spans="11:11" x14ac:dyDescent="0.3">
      <c r="K3784" s="7"/>
    </row>
    <row r="3785" spans="11:11" x14ac:dyDescent="0.3">
      <c r="K3785" s="7"/>
    </row>
    <row r="3786" spans="11:11" x14ac:dyDescent="0.3">
      <c r="K3786" s="7"/>
    </row>
    <row r="3787" spans="11:11" x14ac:dyDescent="0.3">
      <c r="K3787" s="7"/>
    </row>
    <row r="3788" spans="11:11" x14ac:dyDescent="0.3">
      <c r="K3788" s="7"/>
    </row>
    <row r="3789" spans="11:11" x14ac:dyDescent="0.3">
      <c r="K3789" s="7"/>
    </row>
    <row r="3790" spans="11:11" x14ac:dyDescent="0.3">
      <c r="K3790" s="7"/>
    </row>
    <row r="3791" spans="11:11" x14ac:dyDescent="0.3">
      <c r="K3791" s="7"/>
    </row>
    <row r="3792" spans="11:11" x14ac:dyDescent="0.3">
      <c r="K3792" s="7"/>
    </row>
    <row r="3793" spans="11:11" x14ac:dyDescent="0.3">
      <c r="K3793" s="7"/>
    </row>
    <row r="3794" spans="11:11" x14ac:dyDescent="0.3">
      <c r="K3794" s="7"/>
    </row>
    <row r="3795" spans="11:11" x14ac:dyDescent="0.3">
      <c r="K3795" s="7"/>
    </row>
    <row r="3796" spans="11:11" x14ac:dyDescent="0.3">
      <c r="K3796" s="7"/>
    </row>
    <row r="3797" spans="11:11" x14ac:dyDescent="0.3">
      <c r="K3797" s="7"/>
    </row>
    <row r="3798" spans="11:11" x14ac:dyDescent="0.3">
      <c r="K3798" s="7"/>
    </row>
    <row r="3799" spans="11:11" x14ac:dyDescent="0.3">
      <c r="K3799" s="7"/>
    </row>
    <row r="3800" spans="11:11" x14ac:dyDescent="0.3">
      <c r="K3800" s="7"/>
    </row>
    <row r="3801" spans="11:11" x14ac:dyDescent="0.3">
      <c r="K3801" s="7"/>
    </row>
    <row r="3802" spans="11:11" x14ac:dyDescent="0.3">
      <c r="K3802" s="7"/>
    </row>
    <row r="3803" spans="11:11" x14ac:dyDescent="0.3">
      <c r="K3803" s="7"/>
    </row>
    <row r="3804" spans="11:11" x14ac:dyDescent="0.3">
      <c r="K3804" s="7"/>
    </row>
    <row r="3805" spans="11:11" x14ac:dyDescent="0.3">
      <c r="K3805" s="7"/>
    </row>
    <row r="3806" spans="11:11" x14ac:dyDescent="0.3">
      <c r="K3806" s="7"/>
    </row>
    <row r="3807" spans="11:11" x14ac:dyDescent="0.3">
      <c r="K3807" s="7"/>
    </row>
    <row r="3808" spans="11:11" x14ac:dyDescent="0.3">
      <c r="K3808" s="7"/>
    </row>
    <row r="3809" spans="11:11" x14ac:dyDescent="0.3">
      <c r="K3809" s="7"/>
    </row>
    <row r="3810" spans="11:11" x14ac:dyDescent="0.3">
      <c r="K3810" s="7"/>
    </row>
    <row r="3811" spans="11:11" x14ac:dyDescent="0.3">
      <c r="K3811" s="7"/>
    </row>
    <row r="3812" spans="11:11" x14ac:dyDescent="0.3">
      <c r="K3812" s="7"/>
    </row>
    <row r="3813" spans="11:11" x14ac:dyDescent="0.3">
      <c r="K3813" s="7"/>
    </row>
    <row r="3814" spans="11:11" x14ac:dyDescent="0.3">
      <c r="K3814" s="7"/>
    </row>
    <row r="3815" spans="11:11" x14ac:dyDescent="0.3">
      <c r="K3815" s="7"/>
    </row>
    <row r="3816" spans="11:11" x14ac:dyDescent="0.3">
      <c r="K3816" s="7"/>
    </row>
    <row r="3817" spans="11:11" x14ac:dyDescent="0.3">
      <c r="K3817" s="7"/>
    </row>
    <row r="3818" spans="11:11" x14ac:dyDescent="0.3">
      <c r="K3818" s="7"/>
    </row>
    <row r="3819" spans="11:11" x14ac:dyDescent="0.3">
      <c r="K3819" s="7"/>
    </row>
    <row r="3820" spans="11:11" x14ac:dyDescent="0.3">
      <c r="K3820" s="7"/>
    </row>
    <row r="3821" spans="11:11" x14ac:dyDescent="0.3">
      <c r="K3821" s="7"/>
    </row>
    <row r="3822" spans="11:11" x14ac:dyDescent="0.3">
      <c r="K3822" s="7"/>
    </row>
    <row r="3823" spans="11:11" x14ac:dyDescent="0.3">
      <c r="K3823" s="7"/>
    </row>
    <row r="3824" spans="11:11" x14ac:dyDescent="0.3">
      <c r="K3824" s="7"/>
    </row>
    <row r="3825" spans="11:11" x14ac:dyDescent="0.3">
      <c r="K3825" s="7"/>
    </row>
    <row r="3826" spans="11:11" x14ac:dyDescent="0.3">
      <c r="K3826" s="7"/>
    </row>
    <row r="3827" spans="11:11" x14ac:dyDescent="0.3">
      <c r="K3827" s="7"/>
    </row>
    <row r="3828" spans="11:11" x14ac:dyDescent="0.3">
      <c r="K3828" s="7"/>
    </row>
    <row r="3829" spans="11:11" x14ac:dyDescent="0.3">
      <c r="K3829" s="7"/>
    </row>
    <row r="3830" spans="11:11" x14ac:dyDescent="0.3">
      <c r="K3830" s="7"/>
    </row>
    <row r="3831" spans="11:11" x14ac:dyDescent="0.3">
      <c r="K3831" s="7"/>
    </row>
    <row r="3832" spans="11:11" x14ac:dyDescent="0.3">
      <c r="K3832" s="7"/>
    </row>
    <row r="3833" spans="11:11" x14ac:dyDescent="0.3">
      <c r="K3833" s="7"/>
    </row>
    <row r="3834" spans="11:11" x14ac:dyDescent="0.3">
      <c r="K3834" s="7"/>
    </row>
    <row r="3835" spans="11:11" x14ac:dyDescent="0.3">
      <c r="K3835" s="7"/>
    </row>
    <row r="3836" spans="11:11" x14ac:dyDescent="0.3">
      <c r="K3836" s="7"/>
    </row>
    <row r="3837" spans="11:11" x14ac:dyDescent="0.3">
      <c r="K3837" s="7"/>
    </row>
    <row r="3838" spans="11:11" x14ac:dyDescent="0.3">
      <c r="K3838" s="7"/>
    </row>
    <row r="3839" spans="11:11" x14ac:dyDescent="0.3">
      <c r="K3839" s="7"/>
    </row>
    <row r="3840" spans="11:11" x14ac:dyDescent="0.3">
      <c r="K3840" s="7"/>
    </row>
    <row r="3841" spans="11:11" x14ac:dyDescent="0.3">
      <c r="K3841" s="7"/>
    </row>
    <row r="3842" spans="11:11" x14ac:dyDescent="0.3">
      <c r="K3842" s="7"/>
    </row>
    <row r="3843" spans="11:11" x14ac:dyDescent="0.3">
      <c r="K3843" s="7"/>
    </row>
    <row r="3844" spans="11:11" x14ac:dyDescent="0.3">
      <c r="K3844" s="7"/>
    </row>
    <row r="3845" spans="11:11" x14ac:dyDescent="0.3">
      <c r="K3845" s="7"/>
    </row>
    <row r="3846" spans="11:11" x14ac:dyDescent="0.3">
      <c r="K3846" s="7"/>
    </row>
    <row r="3847" spans="11:11" x14ac:dyDescent="0.3">
      <c r="K3847" s="7"/>
    </row>
    <row r="3848" spans="11:11" x14ac:dyDescent="0.3">
      <c r="K3848" s="7"/>
    </row>
    <row r="3849" spans="11:11" x14ac:dyDescent="0.3">
      <c r="K3849" s="7"/>
    </row>
    <row r="3850" spans="11:11" x14ac:dyDescent="0.3">
      <c r="K3850" s="7"/>
    </row>
    <row r="3851" spans="11:11" x14ac:dyDescent="0.3">
      <c r="K3851" s="7"/>
    </row>
    <row r="3852" spans="11:11" x14ac:dyDescent="0.3">
      <c r="K3852" s="7"/>
    </row>
    <row r="3853" spans="11:11" x14ac:dyDescent="0.3">
      <c r="K3853" s="7"/>
    </row>
    <row r="3854" spans="11:11" x14ac:dyDescent="0.3">
      <c r="K3854" s="7"/>
    </row>
    <row r="3855" spans="11:11" x14ac:dyDescent="0.3">
      <c r="K3855" s="7"/>
    </row>
    <row r="3856" spans="11:11" x14ac:dyDescent="0.3">
      <c r="K3856" s="7"/>
    </row>
    <row r="3857" spans="11:11" x14ac:dyDescent="0.3">
      <c r="K3857" s="7"/>
    </row>
    <row r="3858" spans="11:11" x14ac:dyDescent="0.3">
      <c r="K3858" s="7"/>
    </row>
    <row r="3859" spans="11:11" x14ac:dyDescent="0.3">
      <c r="K3859" s="7"/>
    </row>
    <row r="3860" spans="11:11" x14ac:dyDescent="0.3">
      <c r="K3860" s="7"/>
    </row>
    <row r="3861" spans="11:11" x14ac:dyDescent="0.3">
      <c r="K3861" s="7"/>
    </row>
    <row r="3862" spans="11:11" x14ac:dyDescent="0.3">
      <c r="K3862" s="7"/>
    </row>
    <row r="3863" spans="11:11" x14ac:dyDescent="0.3">
      <c r="K3863" s="7"/>
    </row>
    <row r="3864" spans="11:11" x14ac:dyDescent="0.3">
      <c r="K3864" s="7"/>
    </row>
    <row r="3865" spans="11:11" x14ac:dyDescent="0.3">
      <c r="K3865" s="7"/>
    </row>
    <row r="3866" spans="11:11" x14ac:dyDescent="0.3">
      <c r="K3866" s="7"/>
    </row>
    <row r="3867" spans="11:11" x14ac:dyDescent="0.3">
      <c r="K3867" s="7"/>
    </row>
    <row r="3868" spans="11:11" x14ac:dyDescent="0.3">
      <c r="K3868" s="7"/>
    </row>
    <row r="3869" spans="11:11" x14ac:dyDescent="0.3">
      <c r="K3869" s="7"/>
    </row>
    <row r="3870" spans="11:11" x14ac:dyDescent="0.3">
      <c r="K3870" s="7"/>
    </row>
    <row r="3871" spans="11:11" x14ac:dyDescent="0.3">
      <c r="K3871" s="7"/>
    </row>
    <row r="3872" spans="11:11" x14ac:dyDescent="0.3">
      <c r="K3872" s="7"/>
    </row>
    <row r="3873" spans="11:11" x14ac:dyDescent="0.3">
      <c r="K3873" s="7"/>
    </row>
    <row r="3874" spans="11:11" x14ac:dyDescent="0.3">
      <c r="K3874" s="7"/>
    </row>
    <row r="3875" spans="11:11" x14ac:dyDescent="0.3">
      <c r="K3875" s="7"/>
    </row>
    <row r="3876" spans="11:11" x14ac:dyDescent="0.3">
      <c r="K3876" s="7"/>
    </row>
    <row r="3877" spans="11:11" x14ac:dyDescent="0.3">
      <c r="K3877" s="7"/>
    </row>
    <row r="3878" spans="11:11" x14ac:dyDescent="0.3">
      <c r="K3878" s="7"/>
    </row>
    <row r="3879" spans="11:11" x14ac:dyDescent="0.3">
      <c r="K3879" s="7"/>
    </row>
    <row r="3880" spans="11:11" x14ac:dyDescent="0.3">
      <c r="K3880" s="7"/>
    </row>
    <row r="3881" spans="11:11" x14ac:dyDescent="0.3">
      <c r="K3881" s="7"/>
    </row>
    <row r="3882" spans="11:11" x14ac:dyDescent="0.3">
      <c r="K3882" s="7"/>
    </row>
    <row r="3883" spans="11:11" x14ac:dyDescent="0.3">
      <c r="K3883" s="7"/>
    </row>
    <row r="3884" spans="11:11" x14ac:dyDescent="0.3">
      <c r="K3884" s="7"/>
    </row>
    <row r="3885" spans="11:11" x14ac:dyDescent="0.3">
      <c r="K3885" s="7"/>
    </row>
    <row r="3886" spans="11:11" x14ac:dyDescent="0.3">
      <c r="K3886" s="7"/>
    </row>
    <row r="3887" spans="11:11" x14ac:dyDescent="0.3">
      <c r="K3887" s="7"/>
    </row>
    <row r="3888" spans="11:11" x14ac:dyDescent="0.3">
      <c r="K3888" s="7"/>
    </row>
    <row r="3889" spans="11:11" x14ac:dyDescent="0.3">
      <c r="K3889" s="7"/>
    </row>
    <row r="3890" spans="11:11" x14ac:dyDescent="0.3">
      <c r="K3890" s="7"/>
    </row>
    <row r="3891" spans="11:11" x14ac:dyDescent="0.3">
      <c r="K3891" s="7"/>
    </row>
    <row r="3892" spans="11:11" x14ac:dyDescent="0.3">
      <c r="K3892" s="7"/>
    </row>
    <row r="3893" spans="11:11" x14ac:dyDescent="0.3">
      <c r="K3893" s="7"/>
    </row>
    <row r="3894" spans="11:11" x14ac:dyDescent="0.3">
      <c r="K3894" s="7"/>
    </row>
    <row r="3895" spans="11:11" x14ac:dyDescent="0.3">
      <c r="K3895" s="7"/>
    </row>
    <row r="3896" spans="11:11" x14ac:dyDescent="0.3">
      <c r="K3896" s="7"/>
    </row>
    <row r="3897" spans="11:11" x14ac:dyDescent="0.3">
      <c r="K3897" s="7"/>
    </row>
    <row r="3898" spans="11:11" x14ac:dyDescent="0.3">
      <c r="K3898" s="7"/>
    </row>
    <row r="3899" spans="11:11" x14ac:dyDescent="0.3">
      <c r="K3899" s="7"/>
    </row>
    <row r="3900" spans="11:11" x14ac:dyDescent="0.3">
      <c r="K3900" s="7"/>
    </row>
    <row r="3901" spans="11:11" x14ac:dyDescent="0.3">
      <c r="K3901" s="7"/>
    </row>
    <row r="3902" spans="11:11" x14ac:dyDescent="0.3">
      <c r="K3902" s="7"/>
    </row>
    <row r="3903" spans="11:11" x14ac:dyDescent="0.3">
      <c r="K3903" s="7"/>
    </row>
    <row r="3904" spans="11:11" x14ac:dyDescent="0.3">
      <c r="K3904" s="7"/>
    </row>
    <row r="3905" spans="11:11" x14ac:dyDescent="0.3">
      <c r="K3905" s="7"/>
    </row>
    <row r="3906" spans="11:11" x14ac:dyDescent="0.3">
      <c r="K3906" s="7"/>
    </row>
    <row r="3907" spans="11:11" x14ac:dyDescent="0.3">
      <c r="K3907" s="7"/>
    </row>
    <row r="3908" spans="11:11" x14ac:dyDescent="0.3">
      <c r="K3908" s="7"/>
    </row>
    <row r="3909" spans="11:11" x14ac:dyDescent="0.3">
      <c r="K3909" s="7"/>
    </row>
    <row r="3910" spans="11:11" x14ac:dyDescent="0.3">
      <c r="K3910" s="7"/>
    </row>
    <row r="3911" spans="11:11" x14ac:dyDescent="0.3">
      <c r="K3911" s="7"/>
    </row>
    <row r="3912" spans="11:11" x14ac:dyDescent="0.3">
      <c r="K3912" s="7"/>
    </row>
    <row r="3913" spans="11:11" x14ac:dyDescent="0.3">
      <c r="K3913" s="7"/>
    </row>
    <row r="3914" spans="11:11" x14ac:dyDescent="0.3">
      <c r="K3914" s="7"/>
    </row>
    <row r="3915" spans="11:11" x14ac:dyDescent="0.3">
      <c r="K3915" s="7"/>
    </row>
    <row r="3916" spans="11:11" x14ac:dyDescent="0.3">
      <c r="K3916" s="7"/>
    </row>
    <row r="3917" spans="11:11" x14ac:dyDescent="0.3">
      <c r="K3917" s="7"/>
    </row>
    <row r="3918" spans="11:11" x14ac:dyDescent="0.3">
      <c r="K3918" s="7"/>
    </row>
    <row r="3919" spans="11:11" x14ac:dyDescent="0.3">
      <c r="K3919" s="7"/>
    </row>
    <row r="3920" spans="11:11" x14ac:dyDescent="0.3">
      <c r="K3920" s="7"/>
    </row>
    <row r="3921" spans="11:11" x14ac:dyDescent="0.3">
      <c r="K3921" s="7"/>
    </row>
    <row r="3922" spans="11:11" x14ac:dyDescent="0.3">
      <c r="K3922" s="7"/>
    </row>
    <row r="3923" spans="11:11" x14ac:dyDescent="0.3">
      <c r="K3923" s="7"/>
    </row>
    <row r="3924" spans="11:11" x14ac:dyDescent="0.3">
      <c r="K3924" s="7"/>
    </row>
    <row r="3925" spans="11:11" x14ac:dyDescent="0.3">
      <c r="K3925" s="7"/>
    </row>
    <row r="3926" spans="11:11" x14ac:dyDescent="0.3">
      <c r="K3926" s="7"/>
    </row>
    <row r="3927" spans="11:11" x14ac:dyDescent="0.3">
      <c r="K3927" s="7"/>
    </row>
    <row r="3928" spans="11:11" x14ac:dyDescent="0.3">
      <c r="K3928" s="7"/>
    </row>
    <row r="3929" spans="11:11" x14ac:dyDescent="0.3">
      <c r="K3929" s="7"/>
    </row>
    <row r="3930" spans="11:11" x14ac:dyDescent="0.3">
      <c r="K3930" s="7"/>
    </row>
    <row r="3931" spans="11:11" x14ac:dyDescent="0.3">
      <c r="K3931" s="7"/>
    </row>
    <row r="3932" spans="11:11" x14ac:dyDescent="0.3">
      <c r="K3932" s="7"/>
    </row>
    <row r="3933" spans="11:11" x14ac:dyDescent="0.3">
      <c r="K3933" s="7"/>
    </row>
    <row r="3934" spans="11:11" x14ac:dyDescent="0.3">
      <c r="K3934" s="7"/>
    </row>
    <row r="3935" spans="11:11" x14ac:dyDescent="0.3">
      <c r="K3935" s="7"/>
    </row>
    <row r="3936" spans="11:11" x14ac:dyDescent="0.3">
      <c r="K3936" s="7"/>
    </row>
    <row r="3937" spans="11:11" x14ac:dyDescent="0.3">
      <c r="K3937" s="7"/>
    </row>
    <row r="3938" spans="11:11" x14ac:dyDescent="0.3">
      <c r="K3938" s="7"/>
    </row>
    <row r="3939" spans="11:11" x14ac:dyDescent="0.3">
      <c r="K3939" s="7"/>
    </row>
    <row r="3940" spans="11:11" x14ac:dyDescent="0.3">
      <c r="K3940" s="7"/>
    </row>
    <row r="3941" spans="11:11" x14ac:dyDescent="0.3">
      <c r="K3941" s="7"/>
    </row>
    <row r="3942" spans="11:11" x14ac:dyDescent="0.3">
      <c r="K3942" s="7"/>
    </row>
    <row r="3943" spans="11:11" x14ac:dyDescent="0.3">
      <c r="K3943" s="7"/>
    </row>
    <row r="3944" spans="11:11" x14ac:dyDescent="0.3">
      <c r="K3944" s="7"/>
    </row>
    <row r="3945" spans="11:11" x14ac:dyDescent="0.3">
      <c r="K3945" s="7"/>
    </row>
    <row r="3946" spans="11:11" x14ac:dyDescent="0.3">
      <c r="K3946" s="7"/>
    </row>
    <row r="3947" spans="11:11" x14ac:dyDescent="0.3">
      <c r="K3947" s="7"/>
    </row>
    <row r="3948" spans="11:11" x14ac:dyDescent="0.3">
      <c r="K3948" s="7"/>
    </row>
    <row r="3949" spans="11:11" x14ac:dyDescent="0.3">
      <c r="K3949" s="7"/>
    </row>
    <row r="3950" spans="11:11" x14ac:dyDescent="0.3">
      <c r="K3950" s="7"/>
    </row>
    <row r="3951" spans="11:11" x14ac:dyDescent="0.3">
      <c r="K3951" s="7"/>
    </row>
    <row r="3952" spans="11:11" x14ac:dyDescent="0.3">
      <c r="K3952" s="7"/>
    </row>
    <row r="3953" spans="11:11" x14ac:dyDescent="0.3">
      <c r="K3953" s="7"/>
    </row>
    <row r="3954" spans="11:11" x14ac:dyDescent="0.3">
      <c r="K3954" s="7"/>
    </row>
    <row r="3955" spans="11:11" x14ac:dyDescent="0.3">
      <c r="K3955" s="7"/>
    </row>
    <row r="3956" spans="11:11" x14ac:dyDescent="0.3">
      <c r="K3956" s="7"/>
    </row>
    <row r="3957" spans="11:11" x14ac:dyDescent="0.3">
      <c r="K3957" s="7"/>
    </row>
    <row r="3958" spans="11:11" x14ac:dyDescent="0.3">
      <c r="K3958" s="7"/>
    </row>
    <row r="3959" spans="11:11" x14ac:dyDescent="0.3">
      <c r="K3959" s="7"/>
    </row>
    <row r="3960" spans="11:11" x14ac:dyDescent="0.3">
      <c r="K3960" s="7"/>
    </row>
    <row r="3961" spans="11:11" x14ac:dyDescent="0.3">
      <c r="K3961" s="7"/>
    </row>
    <row r="3962" spans="11:11" x14ac:dyDescent="0.3">
      <c r="K3962" s="7"/>
    </row>
    <row r="3963" spans="11:11" x14ac:dyDescent="0.3">
      <c r="K3963" s="7"/>
    </row>
    <row r="3964" spans="11:11" x14ac:dyDescent="0.3">
      <c r="K3964" s="7"/>
    </row>
    <row r="3965" spans="11:11" x14ac:dyDescent="0.3">
      <c r="K3965" s="7"/>
    </row>
    <row r="3966" spans="11:11" x14ac:dyDescent="0.3">
      <c r="K3966" s="7"/>
    </row>
    <row r="3967" spans="11:11" x14ac:dyDescent="0.3">
      <c r="K3967" s="7"/>
    </row>
    <row r="3968" spans="11:11" x14ac:dyDescent="0.3">
      <c r="K3968" s="7"/>
    </row>
    <row r="3969" spans="11:11" x14ac:dyDescent="0.3">
      <c r="K3969" s="7"/>
    </row>
    <row r="3970" spans="11:11" x14ac:dyDescent="0.3">
      <c r="K3970" s="7"/>
    </row>
    <row r="3971" spans="11:11" x14ac:dyDescent="0.3">
      <c r="K3971" s="7"/>
    </row>
    <row r="3972" spans="11:11" x14ac:dyDescent="0.3">
      <c r="K3972" s="7"/>
    </row>
    <row r="3973" spans="11:11" x14ac:dyDescent="0.3">
      <c r="K3973" s="7"/>
    </row>
    <row r="3974" spans="11:11" x14ac:dyDescent="0.3">
      <c r="K3974" s="7"/>
    </row>
    <row r="3975" spans="11:11" x14ac:dyDescent="0.3">
      <c r="K3975" s="7"/>
    </row>
    <row r="3976" spans="11:11" x14ac:dyDescent="0.3">
      <c r="K3976" s="7"/>
    </row>
    <row r="3977" spans="11:11" x14ac:dyDescent="0.3">
      <c r="K3977" s="7"/>
    </row>
    <row r="3978" spans="11:11" x14ac:dyDescent="0.3">
      <c r="K3978" s="7"/>
    </row>
    <row r="3979" spans="11:11" x14ac:dyDescent="0.3">
      <c r="K3979" s="7"/>
    </row>
    <row r="3980" spans="11:11" x14ac:dyDescent="0.3">
      <c r="K3980" s="7"/>
    </row>
    <row r="3981" spans="11:11" x14ac:dyDescent="0.3">
      <c r="K3981" s="7"/>
    </row>
    <row r="3982" spans="11:11" x14ac:dyDescent="0.3">
      <c r="K3982" s="7"/>
    </row>
    <row r="3983" spans="11:11" x14ac:dyDescent="0.3">
      <c r="K3983" s="7"/>
    </row>
    <row r="3984" spans="11:11" x14ac:dyDescent="0.3">
      <c r="K3984" s="7"/>
    </row>
    <row r="3985" spans="11:11" x14ac:dyDescent="0.3">
      <c r="K3985" s="7"/>
    </row>
    <row r="3986" spans="11:11" x14ac:dyDescent="0.3">
      <c r="K3986" s="7"/>
    </row>
    <row r="3987" spans="11:11" x14ac:dyDescent="0.3">
      <c r="K3987" s="7"/>
    </row>
    <row r="3988" spans="11:11" x14ac:dyDescent="0.3">
      <c r="K3988" s="7"/>
    </row>
    <row r="3989" spans="11:11" x14ac:dyDescent="0.3">
      <c r="K3989" s="7"/>
    </row>
    <row r="3990" spans="11:11" x14ac:dyDescent="0.3">
      <c r="K3990" s="7"/>
    </row>
    <row r="3991" spans="11:11" x14ac:dyDescent="0.3">
      <c r="K3991" s="7"/>
    </row>
    <row r="3992" spans="11:11" x14ac:dyDescent="0.3">
      <c r="K3992" s="7"/>
    </row>
    <row r="3993" spans="11:11" x14ac:dyDescent="0.3">
      <c r="K3993" s="7"/>
    </row>
    <row r="3994" spans="11:11" x14ac:dyDescent="0.3">
      <c r="K3994" s="7"/>
    </row>
    <row r="3995" spans="11:11" x14ac:dyDescent="0.3">
      <c r="K3995" s="7"/>
    </row>
    <row r="3996" spans="11:11" x14ac:dyDescent="0.3">
      <c r="K3996" s="7"/>
    </row>
    <row r="3997" spans="11:11" x14ac:dyDescent="0.3">
      <c r="K3997" s="7"/>
    </row>
    <row r="3998" spans="11:11" x14ac:dyDescent="0.3">
      <c r="K3998" s="7"/>
    </row>
    <row r="3999" spans="11:11" x14ac:dyDescent="0.3">
      <c r="K3999" s="7"/>
    </row>
    <row r="4000" spans="11:11" x14ac:dyDescent="0.3">
      <c r="K4000" s="7"/>
    </row>
    <row r="4001" spans="11:11" x14ac:dyDescent="0.3">
      <c r="K4001" s="7"/>
    </row>
    <row r="4002" spans="11:11" x14ac:dyDescent="0.3">
      <c r="K4002" s="7"/>
    </row>
    <row r="4003" spans="11:11" x14ac:dyDescent="0.3">
      <c r="K4003" s="7"/>
    </row>
    <row r="4004" spans="11:11" x14ac:dyDescent="0.3">
      <c r="K4004" s="7"/>
    </row>
    <row r="4005" spans="11:11" x14ac:dyDescent="0.3">
      <c r="K4005" s="7"/>
    </row>
    <row r="4006" spans="11:11" x14ac:dyDescent="0.3">
      <c r="K4006" s="7"/>
    </row>
    <row r="4007" spans="11:11" x14ac:dyDescent="0.3">
      <c r="K4007" s="7"/>
    </row>
    <row r="4008" spans="11:11" x14ac:dyDescent="0.3">
      <c r="K4008" s="7"/>
    </row>
    <row r="4009" spans="11:11" x14ac:dyDescent="0.3">
      <c r="K4009" s="7"/>
    </row>
    <row r="4010" spans="11:11" x14ac:dyDescent="0.3">
      <c r="K4010" s="7"/>
    </row>
    <row r="4011" spans="11:11" x14ac:dyDescent="0.3">
      <c r="K4011" s="7"/>
    </row>
    <row r="4012" spans="11:11" x14ac:dyDescent="0.3">
      <c r="K4012" s="7"/>
    </row>
    <row r="4013" spans="11:11" x14ac:dyDescent="0.3">
      <c r="K4013" s="7"/>
    </row>
    <row r="4014" spans="11:11" x14ac:dyDescent="0.3">
      <c r="K4014" s="7"/>
    </row>
    <row r="4015" spans="11:11" x14ac:dyDescent="0.3">
      <c r="K4015" s="7"/>
    </row>
    <row r="4016" spans="11:11" x14ac:dyDescent="0.3">
      <c r="K4016" s="7"/>
    </row>
    <row r="4017" spans="11:11" x14ac:dyDescent="0.3">
      <c r="K4017" s="7"/>
    </row>
    <row r="4018" spans="11:11" x14ac:dyDescent="0.3">
      <c r="K4018" s="7"/>
    </row>
    <row r="4019" spans="11:11" x14ac:dyDescent="0.3">
      <c r="K4019" s="7"/>
    </row>
    <row r="4020" spans="11:11" x14ac:dyDescent="0.3">
      <c r="K4020" s="7"/>
    </row>
    <row r="4021" spans="11:11" x14ac:dyDescent="0.3">
      <c r="K4021" s="7"/>
    </row>
    <row r="4022" spans="11:11" x14ac:dyDescent="0.3">
      <c r="K4022" s="7"/>
    </row>
    <row r="4023" spans="11:11" x14ac:dyDescent="0.3">
      <c r="K4023" s="7"/>
    </row>
    <row r="4024" spans="11:11" x14ac:dyDescent="0.3">
      <c r="K4024" s="7"/>
    </row>
    <row r="4025" spans="11:11" x14ac:dyDescent="0.3">
      <c r="K4025" s="7"/>
    </row>
    <row r="4026" spans="11:11" x14ac:dyDescent="0.3">
      <c r="K4026" s="7"/>
    </row>
    <row r="4027" spans="11:11" x14ac:dyDescent="0.3">
      <c r="K4027" s="7"/>
    </row>
    <row r="4028" spans="11:11" x14ac:dyDescent="0.3">
      <c r="K4028" s="7"/>
    </row>
    <row r="4029" spans="11:11" x14ac:dyDescent="0.3">
      <c r="K4029" s="7"/>
    </row>
    <row r="4030" spans="11:11" x14ac:dyDescent="0.3">
      <c r="K4030" s="7"/>
    </row>
    <row r="4031" spans="11:11" x14ac:dyDescent="0.3">
      <c r="K4031" s="7"/>
    </row>
    <row r="4032" spans="11:11" x14ac:dyDescent="0.3">
      <c r="K4032" s="7"/>
    </row>
    <row r="4033" spans="11:11" x14ac:dyDescent="0.3">
      <c r="K4033" s="7"/>
    </row>
    <row r="4034" spans="11:11" x14ac:dyDescent="0.3">
      <c r="K4034" s="7"/>
    </row>
    <row r="4035" spans="11:11" x14ac:dyDescent="0.3">
      <c r="K4035" s="7"/>
    </row>
    <row r="4036" spans="11:11" x14ac:dyDescent="0.3">
      <c r="K4036" s="7"/>
    </row>
    <row r="4037" spans="11:11" x14ac:dyDescent="0.3">
      <c r="K4037" s="7"/>
    </row>
    <row r="4038" spans="11:11" x14ac:dyDescent="0.3">
      <c r="K4038" s="7"/>
    </row>
    <row r="4039" spans="11:11" x14ac:dyDescent="0.3">
      <c r="K4039" s="7"/>
    </row>
    <row r="4040" spans="11:11" x14ac:dyDescent="0.3">
      <c r="K4040" s="7"/>
    </row>
    <row r="4041" spans="11:11" x14ac:dyDescent="0.3">
      <c r="K4041" s="7"/>
    </row>
    <row r="4042" spans="11:11" x14ac:dyDescent="0.3">
      <c r="K4042" s="7"/>
    </row>
    <row r="4043" spans="11:11" x14ac:dyDescent="0.3">
      <c r="K4043" s="7"/>
    </row>
    <row r="4044" spans="11:11" x14ac:dyDescent="0.3">
      <c r="K4044" s="7"/>
    </row>
    <row r="4045" spans="11:11" x14ac:dyDescent="0.3">
      <c r="K4045" s="7"/>
    </row>
    <row r="4046" spans="11:11" x14ac:dyDescent="0.3">
      <c r="K4046" s="7"/>
    </row>
    <row r="4047" spans="11:11" x14ac:dyDescent="0.3">
      <c r="K4047" s="7"/>
    </row>
    <row r="4048" spans="11:11" x14ac:dyDescent="0.3">
      <c r="K4048" s="7"/>
    </row>
    <row r="4049" spans="11:11" x14ac:dyDescent="0.3">
      <c r="K4049" s="7"/>
    </row>
    <row r="4050" spans="11:11" x14ac:dyDescent="0.3">
      <c r="K4050" s="7"/>
    </row>
    <row r="4051" spans="11:11" x14ac:dyDescent="0.3">
      <c r="K4051" s="7"/>
    </row>
    <row r="4052" spans="11:11" x14ac:dyDescent="0.3">
      <c r="K4052" s="7"/>
    </row>
    <row r="4053" spans="11:11" x14ac:dyDescent="0.3">
      <c r="K4053" s="7"/>
    </row>
    <row r="4054" spans="11:11" x14ac:dyDescent="0.3">
      <c r="K4054" s="7"/>
    </row>
    <row r="4055" spans="11:11" x14ac:dyDescent="0.3">
      <c r="K4055" s="7"/>
    </row>
    <row r="4056" spans="11:11" x14ac:dyDescent="0.3">
      <c r="K4056" s="7"/>
    </row>
    <row r="4057" spans="11:11" x14ac:dyDescent="0.3">
      <c r="K4057" s="7"/>
    </row>
    <row r="4058" spans="11:11" x14ac:dyDescent="0.3">
      <c r="K4058" s="7"/>
    </row>
    <row r="4059" spans="11:11" x14ac:dyDescent="0.3">
      <c r="K4059" s="7"/>
    </row>
    <row r="4060" spans="11:11" x14ac:dyDescent="0.3">
      <c r="K4060" s="7"/>
    </row>
    <row r="4061" spans="11:11" x14ac:dyDescent="0.3">
      <c r="K4061" s="7"/>
    </row>
    <row r="4062" spans="11:11" x14ac:dyDescent="0.3">
      <c r="K4062" s="7"/>
    </row>
    <row r="4063" spans="11:11" x14ac:dyDescent="0.3">
      <c r="K4063" s="7"/>
    </row>
    <row r="4064" spans="11:11" x14ac:dyDescent="0.3">
      <c r="K4064" s="7"/>
    </row>
    <row r="4065" spans="11:11" x14ac:dyDescent="0.3">
      <c r="K4065" s="7"/>
    </row>
    <row r="4066" spans="11:11" x14ac:dyDescent="0.3">
      <c r="K4066" s="7"/>
    </row>
    <row r="4067" spans="11:11" x14ac:dyDescent="0.3">
      <c r="K4067" s="7"/>
    </row>
    <row r="4068" spans="11:11" x14ac:dyDescent="0.3">
      <c r="K4068" s="7"/>
    </row>
    <row r="4069" spans="11:11" x14ac:dyDescent="0.3">
      <c r="K4069" s="7"/>
    </row>
    <row r="4070" spans="11:11" x14ac:dyDescent="0.3">
      <c r="K4070" s="7"/>
    </row>
    <row r="4071" spans="11:11" x14ac:dyDescent="0.3">
      <c r="K4071" s="7"/>
    </row>
    <row r="4072" spans="11:11" x14ac:dyDescent="0.3">
      <c r="K4072" s="7"/>
    </row>
    <row r="4073" spans="11:11" x14ac:dyDescent="0.3">
      <c r="K4073" s="7"/>
    </row>
    <row r="4074" spans="11:11" x14ac:dyDescent="0.3">
      <c r="K4074" s="7"/>
    </row>
    <row r="4075" spans="11:11" x14ac:dyDescent="0.3">
      <c r="K4075" s="7"/>
    </row>
    <row r="4076" spans="11:11" x14ac:dyDescent="0.3">
      <c r="K4076" s="7"/>
    </row>
    <row r="4077" spans="11:11" x14ac:dyDescent="0.3">
      <c r="K4077" s="7"/>
    </row>
    <row r="4078" spans="11:11" x14ac:dyDescent="0.3">
      <c r="K4078" s="7"/>
    </row>
    <row r="4079" spans="11:11" x14ac:dyDescent="0.3">
      <c r="K4079" s="7"/>
    </row>
    <row r="4080" spans="11:11" x14ac:dyDescent="0.3">
      <c r="K4080" s="7"/>
    </row>
    <row r="4081" spans="11:11" x14ac:dyDescent="0.3">
      <c r="K4081" s="7"/>
    </row>
    <row r="4082" spans="11:11" x14ac:dyDescent="0.3">
      <c r="K4082" s="7"/>
    </row>
    <row r="4083" spans="11:11" x14ac:dyDescent="0.3">
      <c r="K4083" s="7"/>
    </row>
    <row r="4084" spans="11:11" x14ac:dyDescent="0.3">
      <c r="K4084" s="7"/>
    </row>
    <row r="4085" spans="11:11" x14ac:dyDescent="0.3">
      <c r="K4085" s="7"/>
    </row>
    <row r="4086" spans="11:11" x14ac:dyDescent="0.3">
      <c r="K4086" s="7"/>
    </row>
    <row r="4087" spans="11:11" x14ac:dyDescent="0.3">
      <c r="K4087" s="7"/>
    </row>
    <row r="4088" spans="11:11" x14ac:dyDescent="0.3">
      <c r="K4088" s="7"/>
    </row>
    <row r="4089" spans="11:11" x14ac:dyDescent="0.3">
      <c r="K4089" s="7"/>
    </row>
    <row r="4090" spans="11:11" x14ac:dyDescent="0.3">
      <c r="K4090" s="7"/>
    </row>
    <row r="4091" spans="11:11" x14ac:dyDescent="0.3">
      <c r="K4091" s="7"/>
    </row>
    <row r="4092" spans="11:11" x14ac:dyDescent="0.3">
      <c r="K4092" s="7"/>
    </row>
    <row r="4093" spans="11:11" x14ac:dyDescent="0.3">
      <c r="K4093" s="7"/>
    </row>
    <row r="4094" spans="11:11" x14ac:dyDescent="0.3">
      <c r="K4094" s="7"/>
    </row>
    <row r="4095" spans="11:11" x14ac:dyDescent="0.3">
      <c r="K4095" s="7"/>
    </row>
    <row r="4096" spans="11:11" x14ac:dyDescent="0.3">
      <c r="K4096" s="7"/>
    </row>
    <row r="4097" spans="11:11" x14ac:dyDescent="0.3">
      <c r="K4097" s="7"/>
    </row>
    <row r="4098" spans="11:11" x14ac:dyDescent="0.3">
      <c r="K4098" s="7"/>
    </row>
    <row r="4099" spans="11:11" x14ac:dyDescent="0.3">
      <c r="K4099" s="7"/>
    </row>
    <row r="4100" spans="11:11" x14ac:dyDescent="0.3">
      <c r="K4100" s="7"/>
    </row>
    <row r="4101" spans="11:11" x14ac:dyDescent="0.3">
      <c r="K4101" s="7"/>
    </row>
    <row r="4102" spans="11:11" x14ac:dyDescent="0.3">
      <c r="K4102" s="7"/>
    </row>
    <row r="4103" spans="11:11" x14ac:dyDescent="0.3">
      <c r="K4103" s="7"/>
    </row>
    <row r="4104" spans="11:11" x14ac:dyDescent="0.3">
      <c r="K4104" s="7"/>
    </row>
    <row r="4105" spans="11:11" x14ac:dyDescent="0.3">
      <c r="K4105" s="7"/>
    </row>
    <row r="4106" spans="11:11" x14ac:dyDescent="0.3">
      <c r="K4106" s="7"/>
    </row>
    <row r="4107" spans="11:11" x14ac:dyDescent="0.3">
      <c r="K4107" s="7"/>
    </row>
    <row r="4108" spans="11:11" x14ac:dyDescent="0.3">
      <c r="K4108" s="7"/>
    </row>
    <row r="4109" spans="11:11" x14ac:dyDescent="0.3">
      <c r="K4109" s="7"/>
    </row>
    <row r="4110" spans="11:11" x14ac:dyDescent="0.3">
      <c r="K4110" s="7"/>
    </row>
    <row r="4111" spans="11:11" x14ac:dyDescent="0.3">
      <c r="K4111" s="7"/>
    </row>
    <row r="4112" spans="11:11" x14ac:dyDescent="0.3">
      <c r="K4112" s="7"/>
    </row>
    <row r="4113" spans="11:11" x14ac:dyDescent="0.3">
      <c r="K4113" s="7"/>
    </row>
    <row r="4114" spans="11:11" x14ac:dyDescent="0.3">
      <c r="K4114" s="7"/>
    </row>
    <row r="4115" spans="11:11" x14ac:dyDescent="0.3">
      <c r="K4115" s="7"/>
    </row>
    <row r="4116" spans="11:11" x14ac:dyDescent="0.3">
      <c r="K4116" s="7"/>
    </row>
    <row r="4117" spans="11:11" x14ac:dyDescent="0.3">
      <c r="K4117" s="7"/>
    </row>
    <row r="4118" spans="11:11" x14ac:dyDescent="0.3">
      <c r="K4118" s="7"/>
    </row>
    <row r="4119" spans="11:11" x14ac:dyDescent="0.3">
      <c r="K4119" s="7"/>
    </row>
    <row r="4120" spans="11:11" x14ac:dyDescent="0.3">
      <c r="K4120" s="7"/>
    </row>
    <row r="4121" spans="11:11" x14ac:dyDescent="0.3">
      <c r="K4121" s="7"/>
    </row>
    <row r="4122" spans="11:11" x14ac:dyDescent="0.3">
      <c r="K4122" s="7"/>
    </row>
    <row r="4123" spans="11:11" x14ac:dyDescent="0.3">
      <c r="K4123" s="7"/>
    </row>
    <row r="4124" spans="11:11" x14ac:dyDescent="0.3">
      <c r="K4124" s="7"/>
    </row>
    <row r="4125" spans="11:11" x14ac:dyDescent="0.3">
      <c r="K4125" s="7"/>
    </row>
    <row r="4126" spans="11:11" x14ac:dyDescent="0.3">
      <c r="K4126" s="7"/>
    </row>
    <row r="4127" spans="11:11" x14ac:dyDescent="0.3">
      <c r="K4127" s="7"/>
    </row>
    <row r="4128" spans="11:11" x14ac:dyDescent="0.3">
      <c r="K4128" s="7"/>
    </row>
    <row r="4129" spans="11:11" x14ac:dyDescent="0.3">
      <c r="K4129" s="7"/>
    </row>
    <row r="4130" spans="11:11" x14ac:dyDescent="0.3">
      <c r="K4130" s="7"/>
    </row>
    <row r="4131" spans="11:11" x14ac:dyDescent="0.3">
      <c r="K4131" s="7"/>
    </row>
    <row r="4132" spans="11:11" x14ac:dyDescent="0.3">
      <c r="K4132" s="7"/>
    </row>
    <row r="4133" spans="11:11" x14ac:dyDescent="0.3">
      <c r="K4133" s="7"/>
    </row>
    <row r="4134" spans="11:11" x14ac:dyDescent="0.3">
      <c r="K4134" s="7"/>
    </row>
    <row r="4135" spans="11:11" x14ac:dyDescent="0.3">
      <c r="K4135" s="7"/>
    </row>
    <row r="4136" spans="11:11" x14ac:dyDescent="0.3">
      <c r="K4136" s="7"/>
    </row>
    <row r="4137" spans="11:11" x14ac:dyDescent="0.3">
      <c r="K4137" s="7"/>
    </row>
    <row r="4138" spans="11:11" x14ac:dyDescent="0.3">
      <c r="K4138" s="7"/>
    </row>
    <row r="4139" spans="11:11" x14ac:dyDescent="0.3">
      <c r="K4139" s="7"/>
    </row>
    <row r="4140" spans="11:11" x14ac:dyDescent="0.3">
      <c r="K4140" s="7"/>
    </row>
    <row r="4141" spans="11:11" x14ac:dyDescent="0.3">
      <c r="K4141" s="7"/>
    </row>
    <row r="4142" spans="11:11" x14ac:dyDescent="0.3">
      <c r="K4142" s="7"/>
    </row>
    <row r="4143" spans="11:11" x14ac:dyDescent="0.3">
      <c r="K4143" s="7"/>
    </row>
    <row r="4144" spans="11:11" x14ac:dyDescent="0.3">
      <c r="K4144" s="7"/>
    </row>
    <row r="4145" spans="11:11" x14ac:dyDescent="0.3">
      <c r="K4145" s="7"/>
    </row>
    <row r="4146" spans="11:11" x14ac:dyDescent="0.3">
      <c r="K4146" s="7"/>
    </row>
    <row r="4147" spans="11:11" x14ac:dyDescent="0.3">
      <c r="K4147" s="7"/>
    </row>
    <row r="4148" spans="11:11" x14ac:dyDescent="0.3">
      <c r="K4148" s="7"/>
    </row>
    <row r="4149" spans="11:11" x14ac:dyDescent="0.3">
      <c r="K4149" s="7"/>
    </row>
    <row r="4150" spans="11:11" x14ac:dyDescent="0.3">
      <c r="K4150" s="7"/>
    </row>
    <row r="4151" spans="11:11" x14ac:dyDescent="0.3">
      <c r="K4151" s="7"/>
    </row>
    <row r="4152" spans="11:11" x14ac:dyDescent="0.3">
      <c r="K4152" s="7"/>
    </row>
    <row r="4153" spans="11:11" x14ac:dyDescent="0.3">
      <c r="K4153" s="7"/>
    </row>
    <row r="4154" spans="11:11" x14ac:dyDescent="0.3">
      <c r="K4154" s="7"/>
    </row>
    <row r="4155" spans="11:11" x14ac:dyDescent="0.3">
      <c r="K4155" s="7"/>
    </row>
    <row r="4156" spans="11:11" x14ac:dyDescent="0.3">
      <c r="K4156" s="7"/>
    </row>
    <row r="4157" spans="11:11" x14ac:dyDescent="0.3">
      <c r="K4157" s="7"/>
    </row>
    <row r="4158" spans="11:11" x14ac:dyDescent="0.3">
      <c r="K4158" s="7"/>
    </row>
    <row r="4159" spans="11:11" x14ac:dyDescent="0.3">
      <c r="K4159" s="7"/>
    </row>
    <row r="4160" spans="11:11" x14ac:dyDescent="0.3">
      <c r="K4160" s="7"/>
    </row>
    <row r="4161" spans="11:11" x14ac:dyDescent="0.3">
      <c r="K4161" s="7"/>
    </row>
    <row r="4162" spans="11:11" x14ac:dyDescent="0.3">
      <c r="K4162" s="7"/>
    </row>
    <row r="4163" spans="11:11" x14ac:dyDescent="0.3">
      <c r="K4163" s="7"/>
    </row>
    <row r="4164" spans="11:11" x14ac:dyDescent="0.3">
      <c r="K4164" s="7"/>
    </row>
    <row r="4165" spans="11:11" x14ac:dyDescent="0.3">
      <c r="K4165" s="7"/>
    </row>
    <row r="4166" spans="11:11" x14ac:dyDescent="0.3">
      <c r="K4166" s="7"/>
    </row>
    <row r="4167" spans="11:11" x14ac:dyDescent="0.3">
      <c r="K4167" s="7"/>
    </row>
    <row r="4168" spans="11:11" x14ac:dyDescent="0.3">
      <c r="K4168" s="7"/>
    </row>
    <row r="4169" spans="11:11" x14ac:dyDescent="0.3">
      <c r="K4169" s="7"/>
    </row>
    <row r="4170" spans="11:11" x14ac:dyDescent="0.3">
      <c r="K4170" s="7"/>
    </row>
    <row r="4171" spans="11:11" x14ac:dyDescent="0.3">
      <c r="K4171" s="7"/>
    </row>
    <row r="4172" spans="11:11" x14ac:dyDescent="0.3">
      <c r="K4172" s="7"/>
    </row>
    <row r="4173" spans="11:11" x14ac:dyDescent="0.3">
      <c r="K4173" s="7"/>
    </row>
    <row r="4174" spans="11:11" x14ac:dyDescent="0.3">
      <c r="K4174" s="7"/>
    </row>
    <row r="4175" spans="11:11" x14ac:dyDescent="0.3">
      <c r="K4175" s="7"/>
    </row>
    <row r="4176" spans="11:11" x14ac:dyDescent="0.3">
      <c r="K4176" s="7"/>
    </row>
    <row r="4177" spans="11:11" x14ac:dyDescent="0.3">
      <c r="K4177" s="7"/>
    </row>
    <row r="4178" spans="11:11" x14ac:dyDescent="0.3">
      <c r="K4178" s="7"/>
    </row>
    <row r="4179" spans="11:11" x14ac:dyDescent="0.3">
      <c r="K4179" s="7"/>
    </row>
    <row r="4180" spans="11:11" x14ac:dyDescent="0.3">
      <c r="K4180" s="7"/>
    </row>
    <row r="4181" spans="11:11" x14ac:dyDescent="0.3">
      <c r="K4181" s="7"/>
    </row>
    <row r="4182" spans="11:11" x14ac:dyDescent="0.3">
      <c r="K4182" s="7"/>
    </row>
    <row r="4183" spans="11:11" x14ac:dyDescent="0.3">
      <c r="K4183" s="7"/>
    </row>
    <row r="4184" spans="11:11" x14ac:dyDescent="0.3">
      <c r="K4184" s="7"/>
    </row>
    <row r="4185" spans="11:11" x14ac:dyDescent="0.3">
      <c r="K4185" s="7"/>
    </row>
    <row r="4186" spans="11:11" x14ac:dyDescent="0.3">
      <c r="K4186" s="7"/>
    </row>
    <row r="4187" spans="11:11" x14ac:dyDescent="0.3">
      <c r="K4187" s="7"/>
    </row>
    <row r="4188" spans="11:11" x14ac:dyDescent="0.3">
      <c r="K4188" s="7"/>
    </row>
    <row r="4189" spans="11:11" x14ac:dyDescent="0.3">
      <c r="K4189" s="7"/>
    </row>
    <row r="4190" spans="11:11" x14ac:dyDescent="0.3">
      <c r="K4190" s="7"/>
    </row>
    <row r="4191" spans="11:11" x14ac:dyDescent="0.3">
      <c r="K4191" s="7"/>
    </row>
    <row r="4192" spans="11:11" x14ac:dyDescent="0.3">
      <c r="K4192" s="7"/>
    </row>
    <row r="4193" spans="11:11" x14ac:dyDescent="0.3">
      <c r="K4193" s="7"/>
    </row>
    <row r="4194" spans="11:11" x14ac:dyDescent="0.3">
      <c r="K4194" s="7"/>
    </row>
    <row r="4195" spans="11:11" x14ac:dyDescent="0.3">
      <c r="K4195" s="7"/>
    </row>
    <row r="4196" spans="11:11" x14ac:dyDescent="0.3">
      <c r="K4196" s="7"/>
    </row>
    <row r="4197" spans="11:11" x14ac:dyDescent="0.3">
      <c r="K4197" s="7"/>
    </row>
    <row r="4198" spans="11:11" x14ac:dyDescent="0.3">
      <c r="K4198" s="7"/>
    </row>
    <row r="4199" spans="11:11" x14ac:dyDescent="0.3">
      <c r="K4199" s="7"/>
    </row>
    <row r="4200" spans="11:11" x14ac:dyDescent="0.3">
      <c r="K4200" s="7"/>
    </row>
    <row r="4201" spans="11:11" x14ac:dyDescent="0.3">
      <c r="K4201" s="7"/>
    </row>
    <row r="4202" spans="11:11" x14ac:dyDescent="0.3">
      <c r="K4202" s="7"/>
    </row>
    <row r="4203" spans="11:11" x14ac:dyDescent="0.3">
      <c r="K4203" s="7"/>
    </row>
    <row r="4204" spans="11:11" x14ac:dyDescent="0.3">
      <c r="K4204" s="7"/>
    </row>
    <row r="4205" spans="11:11" x14ac:dyDescent="0.3">
      <c r="K4205" s="7"/>
    </row>
    <row r="4206" spans="11:11" x14ac:dyDescent="0.3">
      <c r="K4206" s="7"/>
    </row>
    <row r="4207" spans="11:11" x14ac:dyDescent="0.3">
      <c r="K4207" s="7"/>
    </row>
    <row r="4208" spans="11:11" x14ac:dyDescent="0.3">
      <c r="K4208" s="7"/>
    </row>
    <row r="4209" spans="11:11" x14ac:dyDescent="0.3">
      <c r="K4209" s="7"/>
    </row>
    <row r="4210" spans="11:11" x14ac:dyDescent="0.3">
      <c r="K4210" s="7"/>
    </row>
    <row r="4211" spans="11:11" x14ac:dyDescent="0.3">
      <c r="K4211" s="7"/>
    </row>
    <row r="4212" spans="11:11" x14ac:dyDescent="0.3">
      <c r="K4212" s="7"/>
    </row>
    <row r="4213" spans="11:11" x14ac:dyDescent="0.3">
      <c r="K4213" s="7"/>
    </row>
    <row r="4214" spans="11:11" x14ac:dyDescent="0.3">
      <c r="K4214" s="7"/>
    </row>
    <row r="4215" spans="11:11" x14ac:dyDescent="0.3">
      <c r="K4215" s="7"/>
    </row>
    <row r="4216" spans="11:11" x14ac:dyDescent="0.3">
      <c r="K4216" s="7"/>
    </row>
    <row r="4217" spans="11:11" x14ac:dyDescent="0.3">
      <c r="K4217" s="7"/>
    </row>
    <row r="4218" spans="11:11" x14ac:dyDescent="0.3">
      <c r="K4218" s="7"/>
    </row>
    <row r="4219" spans="11:11" x14ac:dyDescent="0.3">
      <c r="K4219" s="7"/>
    </row>
    <row r="4220" spans="11:11" x14ac:dyDescent="0.3">
      <c r="K4220" s="7"/>
    </row>
    <row r="4221" spans="11:11" x14ac:dyDescent="0.3">
      <c r="K4221" s="7"/>
    </row>
    <row r="4222" spans="11:11" x14ac:dyDescent="0.3">
      <c r="K4222" s="7"/>
    </row>
    <row r="4223" spans="11:11" x14ac:dyDescent="0.3">
      <c r="K4223" s="7"/>
    </row>
    <row r="4224" spans="11:11" x14ac:dyDescent="0.3">
      <c r="K4224" s="7"/>
    </row>
    <row r="4225" spans="11:11" x14ac:dyDescent="0.3">
      <c r="K4225" s="7"/>
    </row>
    <row r="4226" spans="11:11" x14ac:dyDescent="0.3">
      <c r="K4226" s="7"/>
    </row>
    <row r="4227" spans="11:11" x14ac:dyDescent="0.3">
      <c r="K4227" s="7"/>
    </row>
    <row r="4228" spans="11:11" x14ac:dyDescent="0.3">
      <c r="K4228" s="7"/>
    </row>
    <row r="4229" spans="11:11" x14ac:dyDescent="0.3">
      <c r="K4229" s="7"/>
    </row>
    <row r="4230" spans="11:11" x14ac:dyDescent="0.3">
      <c r="K4230" s="7"/>
    </row>
    <row r="4231" spans="11:11" x14ac:dyDescent="0.3">
      <c r="K4231" s="7"/>
    </row>
    <row r="4232" spans="11:11" x14ac:dyDescent="0.3">
      <c r="K4232" s="7"/>
    </row>
    <row r="4233" spans="11:11" x14ac:dyDescent="0.3">
      <c r="K4233" s="7"/>
    </row>
    <row r="4234" spans="11:11" x14ac:dyDescent="0.3">
      <c r="K4234" s="7"/>
    </row>
    <row r="4235" spans="11:11" x14ac:dyDescent="0.3">
      <c r="K4235" s="7"/>
    </row>
    <row r="4236" spans="11:11" x14ac:dyDescent="0.3">
      <c r="K4236" s="7"/>
    </row>
    <row r="4237" spans="11:11" x14ac:dyDescent="0.3">
      <c r="K4237" s="7"/>
    </row>
    <row r="4238" spans="11:11" x14ac:dyDescent="0.3">
      <c r="K4238" s="7"/>
    </row>
    <row r="4239" spans="11:11" x14ac:dyDescent="0.3">
      <c r="K4239" s="7"/>
    </row>
    <row r="4240" spans="11:11" x14ac:dyDescent="0.3">
      <c r="K4240" s="7"/>
    </row>
    <row r="4241" spans="11:11" x14ac:dyDescent="0.3">
      <c r="K4241" s="7"/>
    </row>
    <row r="4242" spans="11:11" x14ac:dyDescent="0.3">
      <c r="K4242" s="7"/>
    </row>
    <row r="4243" spans="11:11" x14ac:dyDescent="0.3">
      <c r="K4243" s="7"/>
    </row>
    <row r="4244" spans="11:11" x14ac:dyDescent="0.3">
      <c r="K4244" s="7"/>
    </row>
    <row r="4245" spans="11:11" x14ac:dyDescent="0.3">
      <c r="K4245" s="7"/>
    </row>
    <row r="4246" spans="11:11" x14ac:dyDescent="0.3">
      <c r="K4246" s="7"/>
    </row>
    <row r="4247" spans="11:11" x14ac:dyDescent="0.3">
      <c r="K4247" s="7"/>
    </row>
    <row r="4248" spans="11:11" x14ac:dyDescent="0.3">
      <c r="K4248" s="7"/>
    </row>
    <row r="4249" spans="11:11" x14ac:dyDescent="0.3">
      <c r="K4249" s="7"/>
    </row>
    <row r="4250" spans="11:11" x14ac:dyDescent="0.3">
      <c r="K4250" s="7"/>
    </row>
    <row r="4251" spans="11:11" x14ac:dyDescent="0.3">
      <c r="K4251" s="7"/>
    </row>
    <row r="4252" spans="11:11" x14ac:dyDescent="0.3">
      <c r="K4252" s="7"/>
    </row>
    <row r="4253" spans="11:11" x14ac:dyDescent="0.3">
      <c r="K4253" s="7"/>
    </row>
    <row r="4254" spans="11:11" x14ac:dyDescent="0.3">
      <c r="K4254" s="7"/>
    </row>
    <row r="4255" spans="11:11" x14ac:dyDescent="0.3">
      <c r="K4255" s="7"/>
    </row>
    <row r="4256" spans="11:11" x14ac:dyDescent="0.3">
      <c r="K4256" s="7"/>
    </row>
    <row r="4257" spans="11:11" x14ac:dyDescent="0.3">
      <c r="K4257" s="7"/>
    </row>
    <row r="4258" spans="11:11" x14ac:dyDescent="0.3">
      <c r="K4258" s="7"/>
    </row>
    <row r="4259" spans="11:11" x14ac:dyDescent="0.3">
      <c r="K4259" s="7"/>
    </row>
    <row r="4260" spans="11:11" x14ac:dyDescent="0.3">
      <c r="K4260" s="7"/>
    </row>
    <row r="4261" spans="11:11" x14ac:dyDescent="0.3">
      <c r="K4261" s="7"/>
    </row>
    <row r="4262" spans="11:11" x14ac:dyDescent="0.3">
      <c r="K4262" s="7"/>
    </row>
    <row r="4263" spans="11:11" x14ac:dyDescent="0.3">
      <c r="K4263" s="7"/>
    </row>
    <row r="4264" spans="11:11" x14ac:dyDescent="0.3">
      <c r="K4264" s="7"/>
    </row>
    <row r="4265" spans="11:11" x14ac:dyDescent="0.3">
      <c r="K4265" s="7"/>
    </row>
    <row r="4266" spans="11:11" x14ac:dyDescent="0.3">
      <c r="K4266" s="7"/>
    </row>
    <row r="4267" spans="11:11" x14ac:dyDescent="0.3">
      <c r="K4267" s="7"/>
    </row>
    <row r="4268" spans="11:11" x14ac:dyDescent="0.3">
      <c r="K4268" s="7"/>
    </row>
    <row r="4269" spans="11:11" x14ac:dyDescent="0.3">
      <c r="K4269" s="7"/>
    </row>
    <row r="4270" spans="11:11" x14ac:dyDescent="0.3">
      <c r="K4270" s="7"/>
    </row>
    <row r="4271" spans="11:11" x14ac:dyDescent="0.3">
      <c r="K4271" s="7"/>
    </row>
    <row r="4272" spans="11:11" x14ac:dyDescent="0.3">
      <c r="K4272" s="7"/>
    </row>
    <row r="4273" spans="11:11" x14ac:dyDescent="0.3">
      <c r="K4273" s="7"/>
    </row>
    <row r="4274" spans="11:11" x14ac:dyDescent="0.3">
      <c r="K4274" s="7"/>
    </row>
    <row r="4275" spans="11:11" x14ac:dyDescent="0.3">
      <c r="K4275" s="7"/>
    </row>
    <row r="4276" spans="11:11" x14ac:dyDescent="0.3">
      <c r="K4276" s="7"/>
    </row>
    <row r="4277" spans="11:11" x14ac:dyDescent="0.3">
      <c r="K4277" s="7"/>
    </row>
    <row r="4278" spans="11:11" x14ac:dyDescent="0.3">
      <c r="K4278" s="7"/>
    </row>
    <row r="4279" spans="11:11" x14ac:dyDescent="0.3">
      <c r="K4279" s="7"/>
    </row>
    <row r="4280" spans="11:11" x14ac:dyDescent="0.3">
      <c r="K4280" s="7"/>
    </row>
    <row r="4281" spans="11:11" x14ac:dyDescent="0.3">
      <c r="K4281" s="7"/>
    </row>
    <row r="4282" spans="11:11" x14ac:dyDescent="0.3">
      <c r="K4282" s="7"/>
    </row>
    <row r="4283" spans="11:11" x14ac:dyDescent="0.3">
      <c r="K4283" s="7"/>
    </row>
    <row r="4284" spans="11:11" x14ac:dyDescent="0.3">
      <c r="K4284" s="7"/>
    </row>
    <row r="4285" spans="11:11" x14ac:dyDescent="0.3">
      <c r="K4285" s="7"/>
    </row>
    <row r="4286" spans="11:11" x14ac:dyDescent="0.3">
      <c r="K4286" s="7"/>
    </row>
    <row r="4287" spans="11:11" x14ac:dyDescent="0.3">
      <c r="K4287" s="7"/>
    </row>
    <row r="4288" spans="11:11" x14ac:dyDescent="0.3">
      <c r="K4288" s="7"/>
    </row>
    <row r="4289" spans="11:11" x14ac:dyDescent="0.3">
      <c r="K4289" s="7"/>
    </row>
    <row r="4290" spans="11:11" x14ac:dyDescent="0.3">
      <c r="K4290" s="7"/>
    </row>
    <row r="4291" spans="11:11" x14ac:dyDescent="0.3">
      <c r="K4291" s="7"/>
    </row>
    <row r="4292" spans="11:11" x14ac:dyDescent="0.3">
      <c r="K4292" s="7"/>
    </row>
    <row r="4293" spans="11:11" x14ac:dyDescent="0.3">
      <c r="K4293" s="7"/>
    </row>
    <row r="4294" spans="11:11" x14ac:dyDescent="0.3">
      <c r="K4294" s="7"/>
    </row>
    <row r="4295" spans="11:11" x14ac:dyDescent="0.3">
      <c r="K4295" s="7"/>
    </row>
    <row r="4296" spans="11:11" x14ac:dyDescent="0.3">
      <c r="K4296" s="7"/>
    </row>
    <row r="4297" spans="11:11" x14ac:dyDescent="0.3">
      <c r="K4297" s="7"/>
    </row>
    <row r="4298" spans="11:11" x14ac:dyDescent="0.3">
      <c r="K4298" s="7"/>
    </row>
    <row r="4299" spans="11:11" x14ac:dyDescent="0.3">
      <c r="K4299" s="7"/>
    </row>
    <row r="4300" spans="11:11" x14ac:dyDescent="0.3">
      <c r="K4300" s="7"/>
    </row>
    <row r="4301" spans="11:11" x14ac:dyDescent="0.3">
      <c r="K4301" s="7"/>
    </row>
    <row r="4302" spans="11:11" x14ac:dyDescent="0.3">
      <c r="K4302" s="7"/>
    </row>
    <row r="4303" spans="11:11" x14ac:dyDescent="0.3">
      <c r="K4303" s="7"/>
    </row>
    <row r="4304" spans="11:11" x14ac:dyDescent="0.3">
      <c r="K4304" s="7"/>
    </row>
    <row r="4305" spans="11:11" x14ac:dyDescent="0.3">
      <c r="K4305" s="7"/>
    </row>
    <row r="4306" spans="11:11" x14ac:dyDescent="0.3">
      <c r="K4306" s="7"/>
    </row>
    <row r="4307" spans="11:11" x14ac:dyDescent="0.3">
      <c r="K4307" s="7"/>
    </row>
    <row r="4308" spans="11:11" x14ac:dyDescent="0.3">
      <c r="K4308" s="7"/>
    </row>
    <row r="4309" spans="11:11" x14ac:dyDescent="0.3">
      <c r="K4309" s="7"/>
    </row>
    <row r="4310" spans="11:11" x14ac:dyDescent="0.3">
      <c r="K4310" s="7"/>
    </row>
    <row r="4311" spans="11:11" x14ac:dyDescent="0.3">
      <c r="K4311" s="7"/>
    </row>
    <row r="4312" spans="11:11" x14ac:dyDescent="0.3">
      <c r="K4312" s="7"/>
    </row>
    <row r="4313" spans="11:11" x14ac:dyDescent="0.3">
      <c r="K4313" s="7"/>
    </row>
    <row r="4314" spans="11:11" x14ac:dyDescent="0.3">
      <c r="K4314" s="7"/>
    </row>
    <row r="4315" spans="11:11" x14ac:dyDescent="0.3">
      <c r="K4315" s="7"/>
    </row>
    <row r="4316" spans="11:11" x14ac:dyDescent="0.3">
      <c r="K4316" s="7"/>
    </row>
    <row r="4317" spans="11:11" x14ac:dyDescent="0.3">
      <c r="K4317" s="7"/>
    </row>
    <row r="4318" spans="11:11" x14ac:dyDescent="0.3">
      <c r="K4318" s="7"/>
    </row>
    <row r="4319" spans="11:11" x14ac:dyDescent="0.3">
      <c r="K4319" s="7"/>
    </row>
    <row r="4320" spans="11:11" x14ac:dyDescent="0.3">
      <c r="K4320" s="7"/>
    </row>
    <row r="4321" spans="11:11" x14ac:dyDescent="0.3">
      <c r="K4321" s="7"/>
    </row>
    <row r="4322" spans="11:11" x14ac:dyDescent="0.3">
      <c r="K4322" s="7"/>
    </row>
    <row r="4323" spans="11:11" x14ac:dyDescent="0.3">
      <c r="K4323" s="7"/>
    </row>
    <row r="4324" spans="11:11" x14ac:dyDescent="0.3">
      <c r="K4324" s="7"/>
    </row>
    <row r="4325" spans="11:11" x14ac:dyDescent="0.3">
      <c r="K4325" s="7"/>
    </row>
    <row r="4326" spans="11:11" x14ac:dyDescent="0.3">
      <c r="K4326" s="7"/>
    </row>
    <row r="4327" spans="11:11" x14ac:dyDescent="0.3">
      <c r="K4327" s="7"/>
    </row>
    <row r="4328" spans="11:11" x14ac:dyDescent="0.3">
      <c r="K4328" s="7"/>
    </row>
    <row r="4329" spans="11:11" x14ac:dyDescent="0.3">
      <c r="K4329" s="7"/>
    </row>
    <row r="4330" spans="11:11" x14ac:dyDescent="0.3">
      <c r="K4330" s="7"/>
    </row>
    <row r="4331" spans="11:11" x14ac:dyDescent="0.3">
      <c r="K4331" s="7"/>
    </row>
    <row r="4332" spans="11:11" x14ac:dyDescent="0.3">
      <c r="K4332" s="7"/>
    </row>
    <row r="4333" spans="11:11" x14ac:dyDescent="0.3">
      <c r="K4333" s="7"/>
    </row>
    <row r="4334" spans="11:11" x14ac:dyDescent="0.3">
      <c r="K4334" s="7"/>
    </row>
    <row r="4335" spans="11:11" x14ac:dyDescent="0.3">
      <c r="K4335" s="7"/>
    </row>
    <row r="4336" spans="11:11" x14ac:dyDescent="0.3">
      <c r="K4336" s="7"/>
    </row>
    <row r="4337" spans="11:11" x14ac:dyDescent="0.3">
      <c r="K4337" s="7"/>
    </row>
    <row r="4338" spans="11:11" x14ac:dyDescent="0.3">
      <c r="K4338" s="7"/>
    </row>
    <row r="4339" spans="11:11" x14ac:dyDescent="0.3">
      <c r="K4339" s="7"/>
    </row>
    <row r="4340" spans="11:11" x14ac:dyDescent="0.3">
      <c r="K4340" s="7"/>
    </row>
    <row r="4341" spans="11:11" x14ac:dyDescent="0.3">
      <c r="K4341" s="7"/>
    </row>
    <row r="4342" spans="11:11" x14ac:dyDescent="0.3">
      <c r="K4342" s="7"/>
    </row>
    <row r="4343" spans="11:11" x14ac:dyDescent="0.3">
      <c r="K4343" s="7"/>
    </row>
    <row r="4344" spans="11:11" x14ac:dyDescent="0.3">
      <c r="K4344" s="7"/>
    </row>
    <row r="4345" spans="11:11" x14ac:dyDescent="0.3">
      <c r="K4345" s="7"/>
    </row>
    <row r="4346" spans="11:11" x14ac:dyDescent="0.3">
      <c r="K4346" s="7"/>
    </row>
    <row r="4347" spans="11:11" x14ac:dyDescent="0.3">
      <c r="K4347" s="7"/>
    </row>
    <row r="4348" spans="11:11" x14ac:dyDescent="0.3">
      <c r="K4348" s="7"/>
    </row>
    <row r="4349" spans="11:11" x14ac:dyDescent="0.3">
      <c r="K4349" s="7"/>
    </row>
    <row r="4350" spans="11:11" x14ac:dyDescent="0.3">
      <c r="K4350" s="7"/>
    </row>
    <row r="4351" spans="11:11" x14ac:dyDescent="0.3">
      <c r="K4351" s="7"/>
    </row>
    <row r="4352" spans="11:11" x14ac:dyDescent="0.3">
      <c r="K4352" s="7"/>
    </row>
    <row r="4353" spans="11:11" x14ac:dyDescent="0.3">
      <c r="K4353" s="7"/>
    </row>
    <row r="4354" spans="11:11" x14ac:dyDescent="0.3">
      <c r="K4354" s="7"/>
    </row>
    <row r="4355" spans="11:11" x14ac:dyDescent="0.3">
      <c r="K4355" s="7"/>
    </row>
    <row r="4356" spans="11:11" x14ac:dyDescent="0.3">
      <c r="K4356" s="7"/>
    </row>
    <row r="4357" spans="11:11" x14ac:dyDescent="0.3">
      <c r="K4357" s="7"/>
    </row>
    <row r="4358" spans="11:11" x14ac:dyDescent="0.3">
      <c r="K4358" s="7"/>
    </row>
    <row r="4359" spans="11:11" x14ac:dyDescent="0.3">
      <c r="K4359" s="7"/>
    </row>
    <row r="4360" spans="11:11" x14ac:dyDescent="0.3">
      <c r="K4360" s="7"/>
    </row>
    <row r="4361" spans="11:11" x14ac:dyDescent="0.3">
      <c r="K4361" s="7"/>
    </row>
    <row r="4362" spans="11:11" x14ac:dyDescent="0.3">
      <c r="K4362" s="7"/>
    </row>
    <row r="4363" spans="11:11" x14ac:dyDescent="0.3">
      <c r="K4363" s="7"/>
    </row>
    <row r="4364" spans="11:11" x14ac:dyDescent="0.3">
      <c r="K4364" s="7"/>
    </row>
    <row r="4365" spans="11:11" x14ac:dyDescent="0.3">
      <c r="K4365" s="7"/>
    </row>
    <row r="4366" spans="11:11" x14ac:dyDescent="0.3">
      <c r="K4366" s="7"/>
    </row>
    <row r="4367" spans="11:11" x14ac:dyDescent="0.3">
      <c r="K4367" s="7"/>
    </row>
    <row r="4368" spans="11:11" x14ac:dyDescent="0.3">
      <c r="K4368" s="7"/>
    </row>
    <row r="4369" spans="11:11" x14ac:dyDescent="0.3">
      <c r="K4369" s="7"/>
    </row>
    <row r="4370" spans="11:11" x14ac:dyDescent="0.3">
      <c r="K4370" s="7"/>
    </row>
    <row r="4371" spans="11:11" x14ac:dyDescent="0.3">
      <c r="K4371" s="7"/>
    </row>
    <row r="4372" spans="11:11" x14ac:dyDescent="0.3">
      <c r="K4372" s="7"/>
    </row>
    <row r="4373" spans="11:11" x14ac:dyDescent="0.3">
      <c r="K4373" s="7"/>
    </row>
    <row r="4374" spans="11:11" x14ac:dyDescent="0.3">
      <c r="K4374" s="7"/>
    </row>
    <row r="4375" spans="11:11" x14ac:dyDescent="0.3">
      <c r="K4375" s="7"/>
    </row>
    <row r="4376" spans="11:11" x14ac:dyDescent="0.3">
      <c r="K4376" s="7"/>
    </row>
    <row r="4377" spans="11:11" x14ac:dyDescent="0.3">
      <c r="K4377" s="7"/>
    </row>
    <row r="4378" spans="11:11" x14ac:dyDescent="0.3">
      <c r="K4378" s="7"/>
    </row>
    <row r="4379" spans="11:11" x14ac:dyDescent="0.3">
      <c r="K4379" s="7"/>
    </row>
    <row r="4380" spans="11:11" x14ac:dyDescent="0.3">
      <c r="K4380" s="7"/>
    </row>
    <row r="4381" spans="11:11" x14ac:dyDescent="0.3">
      <c r="K4381" s="7"/>
    </row>
    <row r="4382" spans="11:11" x14ac:dyDescent="0.3">
      <c r="K4382" s="7"/>
    </row>
    <row r="4383" spans="11:11" x14ac:dyDescent="0.3">
      <c r="K4383" s="7"/>
    </row>
    <row r="4384" spans="11:11" x14ac:dyDescent="0.3">
      <c r="K4384" s="7"/>
    </row>
    <row r="4385" spans="11:11" x14ac:dyDescent="0.3">
      <c r="K4385" s="7"/>
    </row>
    <row r="4386" spans="11:11" x14ac:dyDescent="0.3">
      <c r="K4386" s="7"/>
    </row>
    <row r="4387" spans="11:11" x14ac:dyDescent="0.3">
      <c r="K4387" s="7"/>
    </row>
    <row r="4388" spans="11:11" x14ac:dyDescent="0.3">
      <c r="K4388" s="7"/>
    </row>
    <row r="4389" spans="11:11" x14ac:dyDescent="0.3">
      <c r="K4389" s="7"/>
    </row>
    <row r="4390" spans="11:11" x14ac:dyDescent="0.3">
      <c r="K4390" s="7"/>
    </row>
    <row r="4391" spans="11:11" x14ac:dyDescent="0.3">
      <c r="K4391" s="7"/>
    </row>
    <row r="4392" spans="11:11" x14ac:dyDescent="0.3">
      <c r="K4392" s="7"/>
    </row>
    <row r="4393" spans="11:11" x14ac:dyDescent="0.3">
      <c r="K4393" s="7"/>
    </row>
    <row r="4394" spans="11:11" x14ac:dyDescent="0.3">
      <c r="K4394" s="7"/>
    </row>
    <row r="4395" spans="11:11" x14ac:dyDescent="0.3">
      <c r="K4395" s="7"/>
    </row>
    <row r="4396" spans="11:11" x14ac:dyDescent="0.3">
      <c r="K4396" s="7"/>
    </row>
    <row r="4397" spans="11:11" x14ac:dyDescent="0.3">
      <c r="K4397" s="7"/>
    </row>
    <row r="4398" spans="11:11" x14ac:dyDescent="0.3">
      <c r="K4398" s="7"/>
    </row>
    <row r="4399" spans="11:11" x14ac:dyDescent="0.3">
      <c r="K4399" s="7"/>
    </row>
    <row r="4400" spans="11:11" x14ac:dyDescent="0.3">
      <c r="K4400" s="7"/>
    </row>
    <row r="4401" spans="11:11" x14ac:dyDescent="0.3">
      <c r="K4401" s="7"/>
    </row>
    <row r="4402" spans="11:11" x14ac:dyDescent="0.3">
      <c r="K4402" s="7"/>
    </row>
    <row r="4403" spans="11:11" x14ac:dyDescent="0.3">
      <c r="K4403" s="7"/>
    </row>
    <row r="4404" spans="11:11" x14ac:dyDescent="0.3">
      <c r="K4404" s="7"/>
    </row>
    <row r="4405" spans="11:11" x14ac:dyDescent="0.3">
      <c r="K4405" s="7"/>
    </row>
    <row r="4406" spans="11:11" x14ac:dyDescent="0.3">
      <c r="K4406" s="7"/>
    </row>
    <row r="4407" spans="11:11" x14ac:dyDescent="0.3">
      <c r="K4407" s="7"/>
    </row>
    <row r="4408" spans="11:11" x14ac:dyDescent="0.3">
      <c r="K4408" s="7"/>
    </row>
    <row r="4409" spans="11:11" x14ac:dyDescent="0.3">
      <c r="K4409" s="7"/>
    </row>
    <row r="4410" spans="11:11" x14ac:dyDescent="0.3">
      <c r="K4410" s="7"/>
    </row>
    <row r="4411" spans="11:11" x14ac:dyDescent="0.3">
      <c r="K4411" s="7"/>
    </row>
    <row r="4412" spans="11:11" x14ac:dyDescent="0.3">
      <c r="K4412" s="7"/>
    </row>
    <row r="4413" spans="11:11" x14ac:dyDescent="0.3">
      <c r="K4413" s="7"/>
    </row>
    <row r="4414" spans="11:11" x14ac:dyDescent="0.3">
      <c r="K4414" s="7"/>
    </row>
    <row r="4415" spans="11:11" x14ac:dyDescent="0.3">
      <c r="K4415" s="7"/>
    </row>
    <row r="4416" spans="11:11" x14ac:dyDescent="0.3">
      <c r="K4416" s="7"/>
    </row>
    <row r="4417" spans="11:11" x14ac:dyDescent="0.3">
      <c r="K4417" s="7"/>
    </row>
    <row r="4418" spans="11:11" x14ac:dyDescent="0.3">
      <c r="K4418" s="7"/>
    </row>
    <row r="4419" spans="11:11" x14ac:dyDescent="0.3">
      <c r="K4419" s="7"/>
    </row>
    <row r="4420" spans="11:11" x14ac:dyDescent="0.3">
      <c r="K4420" s="7"/>
    </row>
    <row r="4421" spans="11:11" x14ac:dyDescent="0.3">
      <c r="K4421" s="7"/>
    </row>
    <row r="4422" spans="11:11" x14ac:dyDescent="0.3">
      <c r="K4422" s="7"/>
    </row>
    <row r="4423" spans="11:11" x14ac:dyDescent="0.3">
      <c r="K4423" s="7"/>
    </row>
    <row r="4424" spans="11:11" x14ac:dyDescent="0.3">
      <c r="K4424" s="7"/>
    </row>
    <row r="4425" spans="11:11" x14ac:dyDescent="0.3">
      <c r="K4425" s="7"/>
    </row>
    <row r="4426" spans="11:11" x14ac:dyDescent="0.3">
      <c r="K4426" s="7"/>
    </row>
    <row r="4427" spans="11:11" x14ac:dyDescent="0.3">
      <c r="K4427" s="7"/>
    </row>
    <row r="4428" spans="11:11" x14ac:dyDescent="0.3">
      <c r="K4428" s="7"/>
    </row>
    <row r="4429" spans="11:11" x14ac:dyDescent="0.3">
      <c r="K4429" s="7"/>
    </row>
    <row r="4430" spans="11:11" x14ac:dyDescent="0.3">
      <c r="K4430" s="7"/>
    </row>
    <row r="4431" spans="11:11" x14ac:dyDescent="0.3">
      <c r="K4431" s="7"/>
    </row>
    <row r="4432" spans="11:11" x14ac:dyDescent="0.3">
      <c r="K4432" s="7"/>
    </row>
    <row r="4433" spans="11:11" x14ac:dyDescent="0.3">
      <c r="K4433" s="7"/>
    </row>
    <row r="4434" spans="11:11" x14ac:dyDescent="0.3">
      <c r="K4434" s="7"/>
    </row>
    <row r="4435" spans="11:11" x14ac:dyDescent="0.3">
      <c r="K4435" s="7"/>
    </row>
    <row r="4436" spans="11:11" x14ac:dyDescent="0.3">
      <c r="K4436" s="7"/>
    </row>
    <row r="4437" spans="11:11" x14ac:dyDescent="0.3">
      <c r="K4437" s="7"/>
    </row>
    <row r="4438" spans="11:11" x14ac:dyDescent="0.3">
      <c r="K4438" s="7"/>
    </row>
    <row r="4439" spans="11:11" x14ac:dyDescent="0.3">
      <c r="K4439" s="7"/>
    </row>
    <row r="4440" spans="11:11" x14ac:dyDescent="0.3">
      <c r="K4440" s="7"/>
    </row>
    <row r="4441" spans="11:11" x14ac:dyDescent="0.3">
      <c r="K4441" s="7"/>
    </row>
    <row r="4442" spans="11:11" x14ac:dyDescent="0.3">
      <c r="K4442" s="7"/>
    </row>
    <row r="4443" spans="11:11" x14ac:dyDescent="0.3">
      <c r="K4443" s="7"/>
    </row>
    <row r="4444" spans="11:11" x14ac:dyDescent="0.3">
      <c r="K4444" s="7"/>
    </row>
    <row r="4445" spans="11:11" x14ac:dyDescent="0.3">
      <c r="K4445" s="7"/>
    </row>
    <row r="4446" spans="11:11" x14ac:dyDescent="0.3">
      <c r="K4446" s="7"/>
    </row>
    <row r="4447" spans="11:11" x14ac:dyDescent="0.3">
      <c r="K4447" s="7"/>
    </row>
    <row r="4448" spans="11:11" x14ac:dyDescent="0.3">
      <c r="K4448" s="7"/>
    </row>
    <row r="4449" spans="11:11" x14ac:dyDescent="0.3">
      <c r="K4449" s="7"/>
    </row>
    <row r="4450" spans="11:11" x14ac:dyDescent="0.3">
      <c r="K4450" s="7"/>
    </row>
    <row r="4451" spans="11:11" x14ac:dyDescent="0.3">
      <c r="K4451" s="7"/>
    </row>
    <row r="4452" spans="11:11" x14ac:dyDescent="0.3">
      <c r="K4452" s="7"/>
    </row>
    <row r="4453" spans="11:11" x14ac:dyDescent="0.3">
      <c r="K4453" s="7"/>
    </row>
    <row r="4454" spans="11:11" x14ac:dyDescent="0.3">
      <c r="K4454" s="7"/>
    </row>
    <row r="4455" spans="11:11" x14ac:dyDescent="0.3">
      <c r="K4455" s="7"/>
    </row>
    <row r="4456" spans="11:11" x14ac:dyDescent="0.3">
      <c r="K4456" s="7"/>
    </row>
    <row r="4457" spans="11:11" x14ac:dyDescent="0.3">
      <c r="K4457" s="7"/>
    </row>
    <row r="4458" spans="11:11" x14ac:dyDescent="0.3">
      <c r="K4458" s="7"/>
    </row>
    <row r="4459" spans="11:11" x14ac:dyDescent="0.3">
      <c r="K4459" s="7"/>
    </row>
    <row r="4460" spans="11:11" x14ac:dyDescent="0.3">
      <c r="K4460" s="7"/>
    </row>
    <row r="4461" spans="11:11" x14ac:dyDescent="0.3">
      <c r="K4461" s="7"/>
    </row>
    <row r="4462" spans="11:11" x14ac:dyDescent="0.3">
      <c r="K4462" s="7"/>
    </row>
    <row r="4463" spans="11:11" x14ac:dyDescent="0.3">
      <c r="K4463" s="7"/>
    </row>
    <row r="4464" spans="11:11" x14ac:dyDescent="0.3">
      <c r="K4464" s="7"/>
    </row>
    <row r="4465" spans="11:11" x14ac:dyDescent="0.3">
      <c r="K4465" s="7"/>
    </row>
    <row r="4466" spans="11:11" x14ac:dyDescent="0.3">
      <c r="K4466" s="7"/>
    </row>
    <row r="4467" spans="11:11" x14ac:dyDescent="0.3">
      <c r="K4467" s="7"/>
    </row>
    <row r="4468" spans="11:11" x14ac:dyDescent="0.3">
      <c r="K4468" s="7"/>
    </row>
    <row r="4469" spans="11:11" x14ac:dyDescent="0.3">
      <c r="K4469" s="7"/>
    </row>
    <row r="4470" spans="11:11" x14ac:dyDescent="0.3">
      <c r="K4470" s="7"/>
    </row>
    <row r="4471" spans="11:11" x14ac:dyDescent="0.3">
      <c r="K4471" s="7"/>
    </row>
    <row r="4472" spans="11:11" x14ac:dyDescent="0.3">
      <c r="K4472" s="7"/>
    </row>
    <row r="4473" spans="11:11" x14ac:dyDescent="0.3">
      <c r="K4473" s="7"/>
    </row>
    <row r="4474" spans="11:11" x14ac:dyDescent="0.3">
      <c r="K4474" s="7"/>
    </row>
    <row r="4475" spans="11:11" x14ac:dyDescent="0.3">
      <c r="K4475" s="7"/>
    </row>
    <row r="4476" spans="11:11" x14ac:dyDescent="0.3">
      <c r="K4476" s="7"/>
    </row>
    <row r="4477" spans="11:11" x14ac:dyDescent="0.3">
      <c r="K4477" s="7"/>
    </row>
    <row r="4478" spans="11:11" x14ac:dyDescent="0.3">
      <c r="K4478" s="7"/>
    </row>
    <row r="4479" spans="11:11" x14ac:dyDescent="0.3">
      <c r="K4479" s="7"/>
    </row>
    <row r="4480" spans="11:11" x14ac:dyDescent="0.3">
      <c r="K4480" s="7"/>
    </row>
    <row r="4481" spans="11:11" x14ac:dyDescent="0.3">
      <c r="K4481" s="7"/>
    </row>
    <row r="4482" spans="11:11" x14ac:dyDescent="0.3">
      <c r="K4482" s="7"/>
    </row>
    <row r="4483" spans="11:11" x14ac:dyDescent="0.3">
      <c r="K4483" s="7"/>
    </row>
    <row r="4484" spans="11:11" x14ac:dyDescent="0.3">
      <c r="K4484" s="7"/>
    </row>
    <row r="4485" spans="11:11" x14ac:dyDescent="0.3">
      <c r="K4485" s="7"/>
    </row>
    <row r="4486" spans="11:11" x14ac:dyDescent="0.3">
      <c r="K4486" s="7"/>
    </row>
    <row r="4487" spans="11:11" x14ac:dyDescent="0.3">
      <c r="K4487" s="7"/>
    </row>
    <row r="4488" spans="11:11" x14ac:dyDescent="0.3">
      <c r="K4488" s="7"/>
    </row>
    <row r="4489" spans="11:11" x14ac:dyDescent="0.3">
      <c r="K4489" s="7"/>
    </row>
    <row r="4490" spans="11:11" x14ac:dyDescent="0.3">
      <c r="K4490" s="7"/>
    </row>
    <row r="4491" spans="11:11" x14ac:dyDescent="0.3">
      <c r="K4491" s="7"/>
    </row>
    <row r="4492" spans="11:11" x14ac:dyDescent="0.3">
      <c r="K4492" s="7"/>
    </row>
    <row r="4493" spans="11:11" x14ac:dyDescent="0.3">
      <c r="K4493" s="7"/>
    </row>
    <row r="4494" spans="11:11" x14ac:dyDescent="0.3">
      <c r="K4494" s="7"/>
    </row>
    <row r="4495" spans="11:11" x14ac:dyDescent="0.3">
      <c r="K4495" s="7"/>
    </row>
    <row r="4496" spans="11:11" x14ac:dyDescent="0.3">
      <c r="K4496" s="7"/>
    </row>
    <row r="4497" spans="11:11" x14ac:dyDescent="0.3">
      <c r="K4497" s="7"/>
    </row>
    <row r="4498" spans="11:11" x14ac:dyDescent="0.3">
      <c r="K4498" s="7"/>
    </row>
    <row r="4499" spans="11:11" x14ac:dyDescent="0.3">
      <c r="K4499" s="7"/>
    </row>
    <row r="4500" spans="11:11" x14ac:dyDescent="0.3">
      <c r="K4500" s="7"/>
    </row>
    <row r="4501" spans="11:11" x14ac:dyDescent="0.3">
      <c r="K4501" s="7"/>
    </row>
    <row r="4502" spans="11:11" x14ac:dyDescent="0.3">
      <c r="K4502" s="7"/>
    </row>
    <row r="4503" spans="11:11" x14ac:dyDescent="0.3">
      <c r="K4503" s="7"/>
    </row>
    <row r="4504" spans="11:11" x14ac:dyDescent="0.3">
      <c r="K4504" s="7"/>
    </row>
    <row r="4505" spans="11:11" x14ac:dyDescent="0.3">
      <c r="K4505" s="7"/>
    </row>
    <row r="4506" spans="11:11" x14ac:dyDescent="0.3">
      <c r="K4506" s="7"/>
    </row>
    <row r="4507" spans="11:11" x14ac:dyDescent="0.3">
      <c r="K4507" s="7"/>
    </row>
    <row r="4508" spans="11:11" x14ac:dyDescent="0.3">
      <c r="K4508" s="7"/>
    </row>
    <row r="4509" spans="11:11" x14ac:dyDescent="0.3">
      <c r="K4509" s="7"/>
    </row>
    <row r="4510" spans="11:11" x14ac:dyDescent="0.3">
      <c r="K4510" s="7"/>
    </row>
    <row r="4511" spans="11:11" x14ac:dyDescent="0.3">
      <c r="K4511" s="7"/>
    </row>
    <row r="4512" spans="11:11" x14ac:dyDescent="0.3">
      <c r="K4512" s="7"/>
    </row>
    <row r="4513" spans="11:11" x14ac:dyDescent="0.3">
      <c r="K4513" s="7"/>
    </row>
    <row r="4514" spans="11:11" x14ac:dyDescent="0.3">
      <c r="K4514" s="7"/>
    </row>
    <row r="4515" spans="11:11" x14ac:dyDescent="0.3">
      <c r="K4515" s="7"/>
    </row>
    <row r="4516" spans="11:11" x14ac:dyDescent="0.3">
      <c r="K4516" s="7"/>
    </row>
    <row r="4517" spans="11:11" x14ac:dyDescent="0.3">
      <c r="K4517" s="7"/>
    </row>
    <row r="4518" spans="11:11" x14ac:dyDescent="0.3">
      <c r="K4518" s="7"/>
    </row>
    <row r="4519" spans="11:11" x14ac:dyDescent="0.3">
      <c r="K4519" s="7"/>
    </row>
    <row r="4520" spans="11:11" x14ac:dyDescent="0.3">
      <c r="K4520" s="7"/>
    </row>
    <row r="4521" spans="11:11" x14ac:dyDescent="0.3">
      <c r="K4521" s="7"/>
    </row>
    <row r="4522" spans="11:11" x14ac:dyDescent="0.3">
      <c r="K4522" s="7"/>
    </row>
    <row r="4523" spans="11:11" x14ac:dyDescent="0.3">
      <c r="K4523" s="7"/>
    </row>
    <row r="4524" spans="11:11" x14ac:dyDescent="0.3">
      <c r="K4524" s="7"/>
    </row>
    <row r="4525" spans="11:11" x14ac:dyDescent="0.3">
      <c r="K4525" s="7"/>
    </row>
    <row r="4526" spans="11:11" x14ac:dyDescent="0.3">
      <c r="K4526" s="7"/>
    </row>
    <row r="4527" spans="11:11" x14ac:dyDescent="0.3">
      <c r="K4527" s="7"/>
    </row>
    <row r="4528" spans="11:11" x14ac:dyDescent="0.3">
      <c r="K4528" s="7"/>
    </row>
    <row r="4529" spans="11:11" x14ac:dyDescent="0.3">
      <c r="K4529" s="7"/>
    </row>
    <row r="4530" spans="11:11" x14ac:dyDescent="0.3">
      <c r="K4530" s="7"/>
    </row>
    <row r="4531" spans="11:11" x14ac:dyDescent="0.3">
      <c r="K4531" s="7"/>
    </row>
    <row r="4532" spans="11:11" x14ac:dyDescent="0.3">
      <c r="K4532" s="7"/>
    </row>
    <row r="4533" spans="11:11" x14ac:dyDescent="0.3">
      <c r="K4533" s="7"/>
    </row>
    <row r="4534" spans="11:11" x14ac:dyDescent="0.3">
      <c r="K4534" s="7"/>
    </row>
    <row r="4535" spans="11:11" x14ac:dyDescent="0.3">
      <c r="K4535" s="7"/>
    </row>
    <row r="4536" spans="11:11" x14ac:dyDescent="0.3">
      <c r="K4536" s="7"/>
    </row>
    <row r="4537" spans="11:11" x14ac:dyDescent="0.3">
      <c r="K4537" s="7"/>
    </row>
    <row r="4538" spans="11:11" x14ac:dyDescent="0.3">
      <c r="K4538" s="7"/>
    </row>
    <row r="4539" spans="11:11" x14ac:dyDescent="0.3">
      <c r="K4539" s="7"/>
    </row>
    <row r="4540" spans="11:11" x14ac:dyDescent="0.3">
      <c r="K4540" s="7"/>
    </row>
    <row r="4541" spans="11:11" x14ac:dyDescent="0.3">
      <c r="K4541" s="7"/>
    </row>
    <row r="4542" spans="11:11" x14ac:dyDescent="0.3">
      <c r="K4542" s="7"/>
    </row>
    <row r="4543" spans="11:11" x14ac:dyDescent="0.3">
      <c r="K4543" s="7"/>
    </row>
    <row r="4544" spans="11:11" x14ac:dyDescent="0.3">
      <c r="K4544" s="7"/>
    </row>
    <row r="4545" spans="11:11" x14ac:dyDescent="0.3">
      <c r="K4545" s="7"/>
    </row>
    <row r="4546" spans="11:11" x14ac:dyDescent="0.3">
      <c r="K4546" s="7"/>
    </row>
    <row r="4547" spans="11:11" x14ac:dyDescent="0.3">
      <c r="K4547" s="7"/>
    </row>
    <row r="4548" spans="11:11" x14ac:dyDescent="0.3">
      <c r="K4548" s="7"/>
    </row>
    <row r="4549" spans="11:11" x14ac:dyDescent="0.3">
      <c r="K4549" s="7"/>
    </row>
    <row r="4550" spans="11:11" x14ac:dyDescent="0.3">
      <c r="K4550" s="7"/>
    </row>
    <row r="4551" spans="11:11" x14ac:dyDescent="0.3">
      <c r="K4551" s="7"/>
    </row>
    <row r="4552" spans="11:11" x14ac:dyDescent="0.3">
      <c r="K4552" s="7"/>
    </row>
    <row r="4553" spans="11:11" x14ac:dyDescent="0.3">
      <c r="K4553" s="7"/>
    </row>
    <row r="4554" spans="11:11" x14ac:dyDescent="0.3">
      <c r="K4554" s="7"/>
    </row>
    <row r="4555" spans="11:11" x14ac:dyDescent="0.3">
      <c r="K4555" s="7"/>
    </row>
    <row r="4556" spans="11:11" x14ac:dyDescent="0.3">
      <c r="K4556" s="7"/>
    </row>
    <row r="4557" spans="11:11" x14ac:dyDescent="0.3">
      <c r="K4557" s="7"/>
    </row>
    <row r="4558" spans="11:11" x14ac:dyDescent="0.3">
      <c r="K4558" s="7"/>
    </row>
    <row r="4559" spans="11:11" x14ac:dyDescent="0.3">
      <c r="K4559" s="7"/>
    </row>
    <row r="4560" spans="11:11" x14ac:dyDescent="0.3">
      <c r="K4560" s="7"/>
    </row>
    <row r="4561" spans="11:11" x14ac:dyDescent="0.3">
      <c r="K4561" s="7"/>
    </row>
    <row r="4562" spans="11:11" x14ac:dyDescent="0.3">
      <c r="K4562" s="7"/>
    </row>
    <row r="4563" spans="11:11" x14ac:dyDescent="0.3">
      <c r="K4563" s="7"/>
    </row>
    <row r="4564" spans="11:11" x14ac:dyDescent="0.3">
      <c r="K4564" s="7"/>
    </row>
    <row r="4565" spans="11:11" x14ac:dyDescent="0.3">
      <c r="K4565" s="7"/>
    </row>
    <row r="4566" spans="11:11" x14ac:dyDescent="0.3">
      <c r="K4566" s="7"/>
    </row>
    <row r="4567" spans="11:11" x14ac:dyDescent="0.3">
      <c r="K4567" s="7"/>
    </row>
    <row r="4568" spans="11:11" x14ac:dyDescent="0.3">
      <c r="K4568" s="7"/>
    </row>
    <row r="4569" spans="11:11" x14ac:dyDescent="0.3">
      <c r="K4569" s="7"/>
    </row>
    <row r="4570" spans="11:11" x14ac:dyDescent="0.3">
      <c r="K4570" s="7"/>
    </row>
    <row r="4571" spans="11:11" x14ac:dyDescent="0.3">
      <c r="K4571" s="7"/>
    </row>
    <row r="4572" spans="11:11" x14ac:dyDescent="0.3">
      <c r="K4572" s="7"/>
    </row>
    <row r="4573" spans="11:11" x14ac:dyDescent="0.3">
      <c r="K4573" s="7"/>
    </row>
    <row r="4574" spans="11:11" x14ac:dyDescent="0.3">
      <c r="K4574" s="7"/>
    </row>
    <row r="4575" spans="11:11" x14ac:dyDescent="0.3">
      <c r="K4575" s="7"/>
    </row>
    <row r="4576" spans="11:11" x14ac:dyDescent="0.3">
      <c r="K4576" s="7"/>
    </row>
    <row r="4577" spans="11:11" x14ac:dyDescent="0.3">
      <c r="K4577" s="7"/>
    </row>
    <row r="4578" spans="11:11" x14ac:dyDescent="0.3">
      <c r="K4578" s="7"/>
    </row>
    <row r="4579" spans="11:11" x14ac:dyDescent="0.3">
      <c r="K4579" s="7"/>
    </row>
    <row r="4580" spans="11:11" x14ac:dyDescent="0.3">
      <c r="K4580" s="7"/>
    </row>
    <row r="4581" spans="11:11" x14ac:dyDescent="0.3">
      <c r="K4581" s="7"/>
    </row>
    <row r="4582" spans="11:11" x14ac:dyDescent="0.3">
      <c r="K4582" s="7"/>
    </row>
    <row r="4583" spans="11:11" x14ac:dyDescent="0.3">
      <c r="K4583" s="7"/>
    </row>
    <row r="4584" spans="11:11" x14ac:dyDescent="0.3">
      <c r="K4584" s="7"/>
    </row>
    <row r="4585" spans="11:11" x14ac:dyDescent="0.3">
      <c r="K4585" s="7"/>
    </row>
    <row r="4586" spans="11:11" x14ac:dyDescent="0.3">
      <c r="K4586" s="7"/>
    </row>
    <row r="4587" spans="11:11" x14ac:dyDescent="0.3">
      <c r="K4587" s="7"/>
    </row>
    <row r="4588" spans="11:11" x14ac:dyDescent="0.3">
      <c r="K4588" s="7"/>
    </row>
    <row r="4589" spans="11:11" x14ac:dyDescent="0.3">
      <c r="K4589" s="7"/>
    </row>
    <row r="4590" spans="11:11" x14ac:dyDescent="0.3">
      <c r="K4590" s="7"/>
    </row>
    <row r="4591" spans="11:11" x14ac:dyDescent="0.3">
      <c r="K4591" s="7"/>
    </row>
    <row r="4592" spans="11:11" x14ac:dyDescent="0.3">
      <c r="K4592" s="7"/>
    </row>
    <row r="4593" spans="11:11" x14ac:dyDescent="0.3">
      <c r="K4593" s="7"/>
    </row>
    <row r="4594" spans="11:11" x14ac:dyDescent="0.3">
      <c r="K4594" s="7"/>
    </row>
    <row r="4595" spans="11:11" x14ac:dyDescent="0.3">
      <c r="K4595" s="7"/>
    </row>
    <row r="4596" spans="11:11" x14ac:dyDescent="0.3">
      <c r="K4596" s="7"/>
    </row>
    <row r="4597" spans="11:11" x14ac:dyDescent="0.3">
      <c r="K4597" s="7"/>
    </row>
    <row r="4598" spans="11:11" x14ac:dyDescent="0.3">
      <c r="K4598" s="7"/>
    </row>
    <row r="4599" spans="11:11" x14ac:dyDescent="0.3">
      <c r="K4599" s="7"/>
    </row>
    <row r="4600" spans="11:11" x14ac:dyDescent="0.3">
      <c r="K4600" s="7"/>
    </row>
    <row r="4601" spans="11:11" x14ac:dyDescent="0.3">
      <c r="K4601" s="7"/>
    </row>
    <row r="4602" spans="11:11" x14ac:dyDescent="0.3">
      <c r="K4602" s="7"/>
    </row>
    <row r="4603" spans="11:11" x14ac:dyDescent="0.3">
      <c r="K4603" s="7"/>
    </row>
    <row r="4604" spans="11:11" x14ac:dyDescent="0.3">
      <c r="K4604" s="7"/>
    </row>
    <row r="4605" spans="11:11" x14ac:dyDescent="0.3">
      <c r="K4605" s="7"/>
    </row>
    <row r="4606" spans="11:11" x14ac:dyDescent="0.3">
      <c r="K4606" s="7"/>
    </row>
    <row r="4607" spans="11:11" x14ac:dyDescent="0.3">
      <c r="K4607" s="7"/>
    </row>
    <row r="4608" spans="11:11" x14ac:dyDescent="0.3">
      <c r="K4608" s="7"/>
    </row>
    <row r="4609" spans="11:11" x14ac:dyDescent="0.3">
      <c r="K4609" s="7"/>
    </row>
    <row r="4610" spans="11:11" x14ac:dyDescent="0.3">
      <c r="K4610" s="7"/>
    </row>
    <row r="4611" spans="11:11" x14ac:dyDescent="0.3">
      <c r="K4611" s="7"/>
    </row>
    <row r="4612" spans="11:11" x14ac:dyDescent="0.3">
      <c r="K4612" s="7"/>
    </row>
    <row r="4613" spans="11:11" x14ac:dyDescent="0.3">
      <c r="K4613" s="7"/>
    </row>
    <row r="4614" spans="11:11" x14ac:dyDescent="0.3">
      <c r="K4614" s="7"/>
    </row>
    <row r="4615" spans="11:11" x14ac:dyDescent="0.3">
      <c r="K4615" s="7"/>
    </row>
    <row r="4616" spans="11:11" x14ac:dyDescent="0.3">
      <c r="K4616" s="7"/>
    </row>
    <row r="4617" spans="11:11" x14ac:dyDescent="0.3">
      <c r="K4617" s="7"/>
    </row>
    <row r="4618" spans="11:11" x14ac:dyDescent="0.3">
      <c r="K4618" s="7"/>
    </row>
    <row r="4619" spans="11:11" x14ac:dyDescent="0.3">
      <c r="K4619" s="7"/>
    </row>
    <row r="4620" spans="11:11" x14ac:dyDescent="0.3">
      <c r="K4620" s="7"/>
    </row>
    <row r="4621" spans="11:11" x14ac:dyDescent="0.3">
      <c r="K4621" s="7"/>
    </row>
    <row r="4622" spans="11:11" x14ac:dyDescent="0.3">
      <c r="K4622" s="7"/>
    </row>
    <row r="4623" spans="11:11" x14ac:dyDescent="0.3">
      <c r="K4623" s="7"/>
    </row>
    <row r="4624" spans="11:11" x14ac:dyDescent="0.3">
      <c r="K4624" s="7"/>
    </row>
    <row r="4625" spans="11:11" x14ac:dyDescent="0.3">
      <c r="K4625" s="7"/>
    </row>
    <row r="4626" spans="11:11" x14ac:dyDescent="0.3">
      <c r="K4626" s="7"/>
    </row>
    <row r="4627" spans="11:11" x14ac:dyDescent="0.3">
      <c r="K4627" s="7"/>
    </row>
    <row r="4628" spans="11:11" x14ac:dyDescent="0.3">
      <c r="K4628" s="7"/>
    </row>
    <row r="4629" spans="11:11" x14ac:dyDescent="0.3">
      <c r="K4629" s="7"/>
    </row>
    <row r="4630" spans="11:11" x14ac:dyDescent="0.3">
      <c r="K4630" s="7"/>
    </row>
    <row r="4631" spans="11:11" x14ac:dyDescent="0.3">
      <c r="K4631" s="7"/>
    </row>
    <row r="4632" spans="11:11" x14ac:dyDescent="0.3">
      <c r="K4632" s="7"/>
    </row>
    <row r="4633" spans="11:11" x14ac:dyDescent="0.3">
      <c r="K4633" s="7"/>
    </row>
    <row r="4634" spans="11:11" x14ac:dyDescent="0.3">
      <c r="K4634" s="7"/>
    </row>
    <row r="4635" spans="11:11" x14ac:dyDescent="0.3">
      <c r="K4635" s="7"/>
    </row>
    <row r="4636" spans="11:11" x14ac:dyDescent="0.3">
      <c r="K4636" s="7"/>
    </row>
    <row r="4637" spans="11:11" x14ac:dyDescent="0.3">
      <c r="K4637" s="7"/>
    </row>
    <row r="4638" spans="11:11" x14ac:dyDescent="0.3">
      <c r="K4638" s="7"/>
    </row>
    <row r="4639" spans="11:11" x14ac:dyDescent="0.3">
      <c r="K4639" s="7"/>
    </row>
    <row r="4640" spans="11:11" x14ac:dyDescent="0.3">
      <c r="K4640" s="7"/>
    </row>
    <row r="4641" spans="11:11" x14ac:dyDescent="0.3">
      <c r="K4641" s="7"/>
    </row>
    <row r="4642" spans="11:11" x14ac:dyDescent="0.3">
      <c r="K4642" s="7"/>
    </row>
    <row r="4643" spans="11:11" x14ac:dyDescent="0.3">
      <c r="K4643" s="7"/>
    </row>
    <row r="4644" spans="11:11" x14ac:dyDescent="0.3">
      <c r="K4644" s="7"/>
    </row>
    <row r="4645" spans="11:11" x14ac:dyDescent="0.3">
      <c r="K4645" s="7"/>
    </row>
    <row r="4646" spans="11:11" x14ac:dyDescent="0.3">
      <c r="K4646" s="7"/>
    </row>
    <row r="4647" spans="11:11" x14ac:dyDescent="0.3">
      <c r="K4647" s="7"/>
    </row>
    <row r="4648" spans="11:11" x14ac:dyDescent="0.3">
      <c r="K4648" s="7"/>
    </row>
    <row r="4649" spans="11:11" x14ac:dyDescent="0.3">
      <c r="K4649" s="7"/>
    </row>
    <row r="4650" spans="11:11" x14ac:dyDescent="0.3">
      <c r="K4650" s="7"/>
    </row>
    <row r="4651" spans="11:11" x14ac:dyDescent="0.3">
      <c r="K4651" s="7"/>
    </row>
    <row r="4652" spans="11:11" x14ac:dyDescent="0.3">
      <c r="K4652" s="7"/>
    </row>
    <row r="4653" spans="11:11" x14ac:dyDescent="0.3">
      <c r="K4653" s="7"/>
    </row>
    <row r="4654" spans="11:11" x14ac:dyDescent="0.3">
      <c r="K4654" s="7"/>
    </row>
    <row r="4655" spans="11:11" x14ac:dyDescent="0.3">
      <c r="K4655" s="7"/>
    </row>
    <row r="4656" spans="11:11" x14ac:dyDescent="0.3">
      <c r="K4656" s="7"/>
    </row>
    <row r="4657" spans="11:11" x14ac:dyDescent="0.3">
      <c r="K4657" s="7"/>
    </row>
    <row r="4658" spans="11:11" x14ac:dyDescent="0.3">
      <c r="K4658" s="7"/>
    </row>
    <row r="4659" spans="11:11" x14ac:dyDescent="0.3">
      <c r="K4659" s="7"/>
    </row>
    <row r="4660" spans="11:11" x14ac:dyDescent="0.3">
      <c r="K4660" s="7"/>
    </row>
    <row r="4661" spans="11:11" x14ac:dyDescent="0.3">
      <c r="K4661" s="7"/>
    </row>
    <row r="4662" spans="11:11" x14ac:dyDescent="0.3">
      <c r="K4662" s="7"/>
    </row>
    <row r="4663" spans="11:11" x14ac:dyDescent="0.3">
      <c r="K4663" s="7"/>
    </row>
    <row r="4664" spans="11:11" x14ac:dyDescent="0.3">
      <c r="K4664" s="7"/>
    </row>
    <row r="4665" spans="11:11" x14ac:dyDescent="0.3">
      <c r="K4665" s="7"/>
    </row>
    <row r="4666" spans="11:11" x14ac:dyDescent="0.3">
      <c r="K4666" s="7"/>
    </row>
    <row r="4667" spans="11:11" x14ac:dyDescent="0.3">
      <c r="K4667" s="7"/>
    </row>
    <row r="4668" spans="11:11" x14ac:dyDescent="0.3">
      <c r="K4668" s="7"/>
    </row>
    <row r="4669" spans="11:11" x14ac:dyDescent="0.3">
      <c r="K4669" s="7"/>
    </row>
    <row r="4670" spans="11:11" x14ac:dyDescent="0.3">
      <c r="K4670" s="7"/>
    </row>
    <row r="4671" spans="11:11" x14ac:dyDescent="0.3">
      <c r="K4671" s="7"/>
    </row>
    <row r="4672" spans="11:11" x14ac:dyDescent="0.3">
      <c r="K4672" s="7"/>
    </row>
    <row r="4673" spans="11:11" x14ac:dyDescent="0.3">
      <c r="K4673" s="7"/>
    </row>
    <row r="4674" spans="11:11" x14ac:dyDescent="0.3">
      <c r="K4674" s="7"/>
    </row>
    <row r="4675" spans="11:11" x14ac:dyDescent="0.3">
      <c r="K4675" s="7"/>
    </row>
    <row r="4676" spans="11:11" x14ac:dyDescent="0.3">
      <c r="K4676" s="7"/>
    </row>
    <row r="4677" spans="11:11" x14ac:dyDescent="0.3">
      <c r="K4677" s="7"/>
    </row>
    <row r="4678" spans="11:11" x14ac:dyDescent="0.3">
      <c r="K4678" s="7"/>
    </row>
    <row r="4679" spans="11:11" x14ac:dyDescent="0.3">
      <c r="K4679" s="7"/>
    </row>
    <row r="4680" spans="11:11" x14ac:dyDescent="0.3">
      <c r="K4680" s="7"/>
    </row>
    <row r="4681" spans="11:11" x14ac:dyDescent="0.3">
      <c r="K4681" s="7"/>
    </row>
    <row r="4682" spans="11:11" x14ac:dyDescent="0.3">
      <c r="K4682" s="7"/>
    </row>
    <row r="4683" spans="11:11" x14ac:dyDescent="0.3">
      <c r="K4683" s="7"/>
    </row>
    <row r="4684" spans="11:11" x14ac:dyDescent="0.3">
      <c r="K4684" s="7"/>
    </row>
    <row r="4685" spans="11:11" x14ac:dyDescent="0.3">
      <c r="K4685" s="7"/>
    </row>
    <row r="4686" spans="11:11" x14ac:dyDescent="0.3">
      <c r="K4686" s="7"/>
    </row>
    <row r="4687" spans="11:11" x14ac:dyDescent="0.3">
      <c r="K4687" s="7"/>
    </row>
    <row r="4688" spans="11:11" x14ac:dyDescent="0.3">
      <c r="K4688" s="7"/>
    </row>
    <row r="4689" spans="11:11" x14ac:dyDescent="0.3">
      <c r="K4689" s="7"/>
    </row>
    <row r="4690" spans="11:11" x14ac:dyDescent="0.3">
      <c r="K4690" s="7"/>
    </row>
    <row r="4691" spans="11:11" x14ac:dyDescent="0.3">
      <c r="K4691" s="7"/>
    </row>
    <row r="4692" spans="11:11" x14ac:dyDescent="0.3">
      <c r="K4692" s="7"/>
    </row>
    <row r="4693" spans="11:11" x14ac:dyDescent="0.3">
      <c r="K4693" s="7"/>
    </row>
    <row r="4694" spans="11:11" x14ac:dyDescent="0.3">
      <c r="K4694" s="7"/>
    </row>
    <row r="4695" spans="11:11" x14ac:dyDescent="0.3">
      <c r="K4695" s="7"/>
    </row>
    <row r="4696" spans="11:11" x14ac:dyDescent="0.3">
      <c r="K4696" s="7"/>
    </row>
    <row r="4697" spans="11:11" x14ac:dyDescent="0.3">
      <c r="K4697" s="7"/>
    </row>
    <row r="4698" spans="11:11" x14ac:dyDescent="0.3">
      <c r="K4698" s="7"/>
    </row>
    <row r="4699" spans="11:11" x14ac:dyDescent="0.3">
      <c r="K4699" s="7"/>
    </row>
    <row r="4700" spans="11:11" x14ac:dyDescent="0.3">
      <c r="K4700" s="7"/>
    </row>
    <row r="4701" spans="11:11" x14ac:dyDescent="0.3">
      <c r="K4701" s="7"/>
    </row>
    <row r="4702" spans="11:11" x14ac:dyDescent="0.3">
      <c r="K4702" s="7"/>
    </row>
    <row r="4703" spans="11:11" x14ac:dyDescent="0.3">
      <c r="K4703" s="7"/>
    </row>
    <row r="4704" spans="11:11" x14ac:dyDescent="0.3">
      <c r="K4704" s="7"/>
    </row>
    <row r="4705" spans="11:11" x14ac:dyDescent="0.3">
      <c r="K4705" s="7"/>
    </row>
    <row r="4706" spans="11:11" x14ac:dyDescent="0.3">
      <c r="K4706" s="7"/>
    </row>
    <row r="4707" spans="11:11" x14ac:dyDescent="0.3">
      <c r="K4707" s="7"/>
    </row>
    <row r="4708" spans="11:11" x14ac:dyDescent="0.3">
      <c r="K4708" s="7"/>
    </row>
    <row r="4709" spans="11:11" x14ac:dyDescent="0.3">
      <c r="K4709" s="7"/>
    </row>
    <row r="4710" spans="11:11" x14ac:dyDescent="0.3">
      <c r="K4710" s="7"/>
    </row>
    <row r="4711" spans="11:11" x14ac:dyDescent="0.3">
      <c r="K4711" s="7"/>
    </row>
    <row r="4712" spans="11:11" x14ac:dyDescent="0.3">
      <c r="K4712" s="7"/>
    </row>
    <row r="4713" spans="11:11" x14ac:dyDescent="0.3">
      <c r="K4713" s="7"/>
    </row>
    <row r="4714" spans="11:11" x14ac:dyDescent="0.3">
      <c r="K4714" s="7"/>
    </row>
    <row r="4715" spans="11:11" x14ac:dyDescent="0.3">
      <c r="K4715" s="7"/>
    </row>
    <row r="4716" spans="11:11" x14ac:dyDescent="0.3">
      <c r="K4716" s="7"/>
    </row>
    <row r="4717" spans="11:11" x14ac:dyDescent="0.3">
      <c r="K4717" s="7"/>
    </row>
    <row r="4718" spans="11:11" x14ac:dyDescent="0.3">
      <c r="K4718" s="7"/>
    </row>
    <row r="4719" spans="11:11" x14ac:dyDescent="0.3">
      <c r="K4719" s="7"/>
    </row>
    <row r="4720" spans="11:11" x14ac:dyDescent="0.3">
      <c r="K4720" s="7"/>
    </row>
    <row r="4721" spans="11:11" x14ac:dyDescent="0.3">
      <c r="K4721" s="7"/>
    </row>
    <row r="4722" spans="11:11" x14ac:dyDescent="0.3">
      <c r="K4722" s="7"/>
    </row>
    <row r="4723" spans="11:11" x14ac:dyDescent="0.3">
      <c r="K4723" s="7"/>
    </row>
    <row r="4724" spans="11:11" x14ac:dyDescent="0.3">
      <c r="K4724" s="7"/>
    </row>
    <row r="4725" spans="11:11" x14ac:dyDescent="0.3">
      <c r="K4725" s="7"/>
    </row>
    <row r="4726" spans="11:11" x14ac:dyDescent="0.3">
      <c r="K4726" s="7"/>
    </row>
    <row r="4727" spans="11:11" x14ac:dyDescent="0.3">
      <c r="K4727" s="7"/>
    </row>
    <row r="4728" spans="11:11" x14ac:dyDescent="0.3">
      <c r="K4728" s="7"/>
    </row>
    <row r="4729" spans="11:11" x14ac:dyDescent="0.3">
      <c r="K4729" s="7"/>
    </row>
    <row r="4730" spans="11:11" x14ac:dyDescent="0.3">
      <c r="K4730" s="7"/>
    </row>
    <row r="4731" spans="11:11" x14ac:dyDescent="0.3">
      <c r="K4731" s="7"/>
    </row>
    <row r="4732" spans="11:11" x14ac:dyDescent="0.3">
      <c r="K4732" s="7"/>
    </row>
    <row r="4733" spans="11:11" x14ac:dyDescent="0.3">
      <c r="K4733" s="7"/>
    </row>
    <row r="4734" spans="11:11" x14ac:dyDescent="0.3">
      <c r="K4734" s="7"/>
    </row>
    <row r="4735" spans="11:11" x14ac:dyDescent="0.3">
      <c r="K4735" s="7"/>
    </row>
    <row r="4736" spans="11:11" x14ac:dyDescent="0.3">
      <c r="K4736" s="7"/>
    </row>
    <row r="4737" spans="11:11" x14ac:dyDescent="0.3">
      <c r="K4737" s="7"/>
    </row>
    <row r="4738" spans="11:11" x14ac:dyDescent="0.3">
      <c r="K4738" s="7"/>
    </row>
    <row r="4739" spans="11:11" x14ac:dyDescent="0.3">
      <c r="K4739" s="7"/>
    </row>
    <row r="4740" spans="11:11" x14ac:dyDescent="0.3">
      <c r="K4740" s="7"/>
    </row>
    <row r="4741" spans="11:11" x14ac:dyDescent="0.3">
      <c r="K4741" s="7"/>
    </row>
    <row r="4742" spans="11:11" x14ac:dyDescent="0.3">
      <c r="K4742" s="7"/>
    </row>
    <row r="4743" spans="11:11" x14ac:dyDescent="0.3">
      <c r="K4743" s="7"/>
    </row>
    <row r="4744" spans="11:11" x14ac:dyDescent="0.3">
      <c r="K4744" s="7"/>
    </row>
    <row r="4745" spans="11:11" x14ac:dyDescent="0.3">
      <c r="K4745" s="7"/>
    </row>
    <row r="4746" spans="11:11" x14ac:dyDescent="0.3">
      <c r="K4746" s="7"/>
    </row>
    <row r="4747" spans="11:11" x14ac:dyDescent="0.3">
      <c r="K4747" s="7"/>
    </row>
    <row r="4748" spans="11:11" x14ac:dyDescent="0.3">
      <c r="K4748" s="7"/>
    </row>
    <row r="4749" spans="11:11" x14ac:dyDescent="0.3">
      <c r="K4749" s="7"/>
    </row>
    <row r="4750" spans="11:11" x14ac:dyDescent="0.3">
      <c r="K4750" s="7"/>
    </row>
    <row r="4751" spans="11:11" x14ac:dyDescent="0.3">
      <c r="K4751" s="7"/>
    </row>
    <row r="4752" spans="11:11" x14ac:dyDescent="0.3">
      <c r="K4752" s="7"/>
    </row>
    <row r="4753" spans="11:11" x14ac:dyDescent="0.3">
      <c r="K4753" s="7"/>
    </row>
    <row r="4754" spans="11:11" x14ac:dyDescent="0.3">
      <c r="K4754" s="7"/>
    </row>
    <row r="4755" spans="11:11" x14ac:dyDescent="0.3">
      <c r="K4755" s="7"/>
    </row>
    <row r="4756" spans="11:11" x14ac:dyDescent="0.3">
      <c r="K4756" s="7"/>
    </row>
    <row r="4757" spans="11:11" x14ac:dyDescent="0.3">
      <c r="K4757" s="7"/>
    </row>
    <row r="4758" spans="11:11" x14ac:dyDescent="0.3">
      <c r="K4758" s="7"/>
    </row>
    <row r="4759" spans="11:11" x14ac:dyDescent="0.3">
      <c r="K4759" s="7"/>
    </row>
    <row r="4760" spans="11:11" x14ac:dyDescent="0.3">
      <c r="K4760" s="7"/>
    </row>
    <row r="4761" spans="11:11" x14ac:dyDescent="0.3">
      <c r="K4761" s="7"/>
    </row>
    <row r="4762" spans="11:11" x14ac:dyDescent="0.3">
      <c r="K4762" s="7"/>
    </row>
    <row r="4763" spans="11:11" x14ac:dyDescent="0.3">
      <c r="K4763" s="7"/>
    </row>
    <row r="4764" spans="11:11" x14ac:dyDescent="0.3">
      <c r="K4764" s="7"/>
    </row>
    <row r="4765" spans="11:11" x14ac:dyDescent="0.3">
      <c r="K4765" s="7"/>
    </row>
    <row r="4766" spans="11:11" x14ac:dyDescent="0.3">
      <c r="K4766" s="7"/>
    </row>
    <row r="4767" spans="11:11" x14ac:dyDescent="0.3">
      <c r="K4767" s="7"/>
    </row>
    <row r="4768" spans="11:11" x14ac:dyDescent="0.3">
      <c r="K4768" s="7"/>
    </row>
    <row r="4769" spans="11:11" x14ac:dyDescent="0.3">
      <c r="K4769" s="7"/>
    </row>
    <row r="4770" spans="11:11" x14ac:dyDescent="0.3">
      <c r="K4770" s="7"/>
    </row>
    <row r="4771" spans="11:11" x14ac:dyDescent="0.3">
      <c r="K4771" s="7"/>
    </row>
    <row r="4772" spans="11:11" x14ac:dyDescent="0.3">
      <c r="K4772" s="7"/>
    </row>
    <row r="4773" spans="11:11" x14ac:dyDescent="0.3">
      <c r="K4773" s="7"/>
    </row>
    <row r="4774" spans="11:11" x14ac:dyDescent="0.3">
      <c r="K4774" s="7"/>
    </row>
    <row r="4775" spans="11:11" x14ac:dyDescent="0.3">
      <c r="K4775" s="7"/>
    </row>
    <row r="4776" spans="11:11" x14ac:dyDescent="0.3">
      <c r="K4776" s="7"/>
    </row>
    <row r="4777" spans="11:11" x14ac:dyDescent="0.3">
      <c r="K4777" s="7"/>
    </row>
    <row r="4778" spans="11:11" x14ac:dyDescent="0.3">
      <c r="K4778" s="7"/>
    </row>
    <row r="4779" spans="11:11" x14ac:dyDescent="0.3">
      <c r="K4779" s="7"/>
    </row>
    <row r="4780" spans="11:11" x14ac:dyDescent="0.3">
      <c r="K4780" s="7"/>
    </row>
    <row r="4781" spans="11:11" x14ac:dyDescent="0.3">
      <c r="K4781" s="7"/>
    </row>
    <row r="4782" spans="11:11" x14ac:dyDescent="0.3">
      <c r="K4782" s="7"/>
    </row>
    <row r="4783" spans="11:11" x14ac:dyDescent="0.3">
      <c r="K4783" s="7"/>
    </row>
    <row r="4784" spans="11:11" x14ac:dyDescent="0.3">
      <c r="K4784" s="7"/>
    </row>
    <row r="4785" spans="11:11" x14ac:dyDescent="0.3">
      <c r="K4785" s="7"/>
    </row>
    <row r="4786" spans="11:11" x14ac:dyDescent="0.3">
      <c r="K4786" s="7"/>
    </row>
    <row r="4787" spans="11:11" x14ac:dyDescent="0.3">
      <c r="K4787" s="7"/>
    </row>
    <row r="4788" spans="11:11" x14ac:dyDescent="0.3">
      <c r="K4788" s="7"/>
    </row>
    <row r="4789" spans="11:11" x14ac:dyDescent="0.3">
      <c r="K4789" s="7"/>
    </row>
    <row r="4790" spans="11:11" x14ac:dyDescent="0.3">
      <c r="K4790" s="7"/>
    </row>
    <row r="4791" spans="11:11" x14ac:dyDescent="0.3">
      <c r="K4791" s="7"/>
    </row>
    <row r="4792" spans="11:11" x14ac:dyDescent="0.3">
      <c r="K4792" s="7"/>
    </row>
    <row r="4793" spans="11:11" x14ac:dyDescent="0.3">
      <c r="K4793" s="7"/>
    </row>
    <row r="4794" spans="11:11" x14ac:dyDescent="0.3">
      <c r="K4794" s="7"/>
    </row>
    <row r="4795" spans="11:11" x14ac:dyDescent="0.3">
      <c r="K4795" s="7"/>
    </row>
    <row r="4796" spans="11:11" x14ac:dyDescent="0.3">
      <c r="K4796" s="7"/>
    </row>
    <row r="4797" spans="11:11" x14ac:dyDescent="0.3">
      <c r="K4797" s="7"/>
    </row>
    <row r="4798" spans="11:11" x14ac:dyDescent="0.3">
      <c r="K4798" s="7"/>
    </row>
    <row r="4799" spans="11:11" x14ac:dyDescent="0.3">
      <c r="K4799" s="7"/>
    </row>
    <row r="4800" spans="11:11" x14ac:dyDescent="0.3">
      <c r="K4800" s="7"/>
    </row>
    <row r="4801" spans="11:11" x14ac:dyDescent="0.3">
      <c r="K4801" s="7"/>
    </row>
    <row r="4802" spans="11:11" x14ac:dyDescent="0.3">
      <c r="K4802" s="7"/>
    </row>
    <row r="4803" spans="11:11" x14ac:dyDescent="0.3">
      <c r="K4803" s="7"/>
    </row>
    <row r="4804" spans="11:11" x14ac:dyDescent="0.3">
      <c r="K4804" s="7"/>
    </row>
    <row r="4805" spans="11:11" x14ac:dyDescent="0.3">
      <c r="K4805" s="7"/>
    </row>
    <row r="4806" spans="11:11" x14ac:dyDescent="0.3">
      <c r="K4806" s="7"/>
    </row>
    <row r="4807" spans="11:11" x14ac:dyDescent="0.3">
      <c r="K4807" s="7"/>
    </row>
    <row r="4808" spans="11:11" x14ac:dyDescent="0.3">
      <c r="K4808" s="7"/>
    </row>
    <row r="4809" spans="11:11" x14ac:dyDescent="0.3">
      <c r="K4809" s="7"/>
    </row>
    <row r="4810" spans="11:11" x14ac:dyDescent="0.3">
      <c r="K4810" s="7"/>
    </row>
    <row r="4811" spans="11:11" x14ac:dyDescent="0.3">
      <c r="K4811" s="7"/>
    </row>
    <row r="4812" spans="11:11" x14ac:dyDescent="0.3">
      <c r="K4812" s="7"/>
    </row>
    <row r="4813" spans="11:11" x14ac:dyDescent="0.3">
      <c r="K4813" s="7"/>
    </row>
    <row r="4814" spans="11:11" x14ac:dyDescent="0.3">
      <c r="K4814" s="7"/>
    </row>
    <row r="4815" spans="11:11" x14ac:dyDescent="0.3">
      <c r="K4815" s="7"/>
    </row>
    <row r="4816" spans="11:11" x14ac:dyDescent="0.3">
      <c r="K4816" s="7"/>
    </row>
    <row r="4817" spans="11:11" x14ac:dyDescent="0.3">
      <c r="K4817" s="7"/>
    </row>
    <row r="4818" spans="11:11" x14ac:dyDescent="0.3">
      <c r="K4818" s="7"/>
    </row>
    <row r="4819" spans="11:11" x14ac:dyDescent="0.3">
      <c r="K4819" s="7"/>
    </row>
    <row r="4820" spans="11:11" x14ac:dyDescent="0.3">
      <c r="K4820" s="7"/>
    </row>
    <row r="4821" spans="11:11" x14ac:dyDescent="0.3">
      <c r="K4821" s="7"/>
    </row>
    <row r="4822" spans="11:11" x14ac:dyDescent="0.3">
      <c r="K4822" s="7"/>
    </row>
    <row r="4823" spans="11:11" x14ac:dyDescent="0.3">
      <c r="K4823" s="7"/>
    </row>
    <row r="4824" spans="11:11" x14ac:dyDescent="0.3">
      <c r="K4824" s="7"/>
    </row>
    <row r="4825" spans="11:11" x14ac:dyDescent="0.3">
      <c r="K4825" s="7"/>
    </row>
    <row r="4826" spans="11:11" x14ac:dyDescent="0.3">
      <c r="K4826" s="7"/>
    </row>
    <row r="4827" spans="11:11" x14ac:dyDescent="0.3">
      <c r="K4827" s="7"/>
    </row>
    <row r="4828" spans="11:11" x14ac:dyDescent="0.3">
      <c r="K4828" s="7"/>
    </row>
    <row r="4829" spans="11:11" x14ac:dyDescent="0.3">
      <c r="K4829" s="7"/>
    </row>
    <row r="4830" spans="11:11" x14ac:dyDescent="0.3">
      <c r="K4830" s="7"/>
    </row>
    <row r="4831" spans="11:11" x14ac:dyDescent="0.3">
      <c r="K4831" s="7"/>
    </row>
    <row r="4832" spans="11:11" x14ac:dyDescent="0.3">
      <c r="K4832" s="7"/>
    </row>
    <row r="4833" spans="11:11" x14ac:dyDescent="0.3">
      <c r="K4833" s="7"/>
    </row>
    <row r="4834" spans="11:11" x14ac:dyDescent="0.3">
      <c r="K4834" s="7"/>
    </row>
    <row r="4835" spans="11:11" x14ac:dyDescent="0.3">
      <c r="K4835" s="7"/>
    </row>
    <row r="4836" spans="11:11" x14ac:dyDescent="0.3">
      <c r="K4836" s="7"/>
    </row>
    <row r="4837" spans="11:11" x14ac:dyDescent="0.3">
      <c r="K4837" s="7"/>
    </row>
    <row r="4838" spans="11:11" x14ac:dyDescent="0.3">
      <c r="K4838" s="7"/>
    </row>
    <row r="4839" spans="11:11" x14ac:dyDescent="0.3">
      <c r="K4839" s="7"/>
    </row>
    <row r="4840" spans="11:11" x14ac:dyDescent="0.3">
      <c r="K4840" s="7"/>
    </row>
    <row r="4841" spans="11:11" x14ac:dyDescent="0.3">
      <c r="K4841" s="7"/>
    </row>
    <row r="4842" spans="11:11" x14ac:dyDescent="0.3">
      <c r="K4842" s="7"/>
    </row>
    <row r="4843" spans="11:11" x14ac:dyDescent="0.3">
      <c r="K4843" s="7"/>
    </row>
    <row r="4844" spans="11:11" x14ac:dyDescent="0.3">
      <c r="K4844" s="7"/>
    </row>
    <row r="4845" spans="11:11" x14ac:dyDescent="0.3">
      <c r="K4845" s="7"/>
    </row>
    <row r="4846" spans="11:11" x14ac:dyDescent="0.3">
      <c r="K4846" s="7"/>
    </row>
    <row r="4847" spans="11:11" x14ac:dyDescent="0.3">
      <c r="K4847" s="7"/>
    </row>
    <row r="4848" spans="11:11" x14ac:dyDescent="0.3">
      <c r="K4848" s="7"/>
    </row>
    <row r="4849" spans="11:11" x14ac:dyDescent="0.3">
      <c r="K4849" s="7"/>
    </row>
    <row r="4850" spans="11:11" x14ac:dyDescent="0.3">
      <c r="K4850" s="7"/>
    </row>
    <row r="4851" spans="11:11" x14ac:dyDescent="0.3">
      <c r="K4851" s="7"/>
    </row>
    <row r="4852" spans="11:11" x14ac:dyDescent="0.3">
      <c r="K4852" s="7"/>
    </row>
    <row r="4853" spans="11:11" x14ac:dyDescent="0.3">
      <c r="K4853" s="7"/>
    </row>
    <row r="4854" spans="11:11" x14ac:dyDescent="0.3">
      <c r="K4854" s="7"/>
    </row>
    <row r="4855" spans="11:11" x14ac:dyDescent="0.3">
      <c r="K4855" s="7"/>
    </row>
    <row r="4856" spans="11:11" x14ac:dyDescent="0.3">
      <c r="K4856" s="7"/>
    </row>
    <row r="4857" spans="11:11" x14ac:dyDescent="0.3">
      <c r="K4857" s="7"/>
    </row>
    <row r="4858" spans="11:11" x14ac:dyDescent="0.3">
      <c r="K4858" s="7"/>
    </row>
    <row r="4859" spans="11:11" x14ac:dyDescent="0.3">
      <c r="K4859" s="7"/>
    </row>
    <row r="4860" spans="11:11" x14ac:dyDescent="0.3">
      <c r="K4860" s="7"/>
    </row>
    <row r="4861" spans="11:11" x14ac:dyDescent="0.3">
      <c r="K4861" s="7"/>
    </row>
    <row r="4862" spans="11:11" x14ac:dyDescent="0.3">
      <c r="K4862" s="7"/>
    </row>
    <row r="4863" spans="11:11" x14ac:dyDescent="0.3">
      <c r="K4863" s="7"/>
    </row>
    <row r="4864" spans="11:11" x14ac:dyDescent="0.3">
      <c r="K4864" s="7"/>
    </row>
    <row r="4865" spans="11:11" x14ac:dyDescent="0.3">
      <c r="K4865" s="7"/>
    </row>
    <row r="4866" spans="11:11" x14ac:dyDescent="0.3">
      <c r="K4866" s="7"/>
    </row>
    <row r="4867" spans="11:11" x14ac:dyDescent="0.3">
      <c r="K4867" s="7"/>
    </row>
    <row r="4868" spans="11:11" x14ac:dyDescent="0.3">
      <c r="K4868" s="7"/>
    </row>
    <row r="4869" spans="11:11" x14ac:dyDescent="0.3">
      <c r="K4869" s="7"/>
    </row>
    <row r="4870" spans="11:11" x14ac:dyDescent="0.3">
      <c r="K4870" s="7"/>
    </row>
    <row r="4871" spans="11:11" x14ac:dyDescent="0.3">
      <c r="K4871" s="7"/>
    </row>
    <row r="4872" spans="11:11" x14ac:dyDescent="0.3">
      <c r="K4872" s="7"/>
    </row>
    <row r="4873" spans="11:11" x14ac:dyDescent="0.3">
      <c r="K4873" s="7"/>
    </row>
    <row r="4874" spans="11:11" x14ac:dyDescent="0.3">
      <c r="K4874" s="7"/>
    </row>
    <row r="4875" spans="11:11" x14ac:dyDescent="0.3">
      <c r="K4875" s="7"/>
    </row>
    <row r="4876" spans="11:11" x14ac:dyDescent="0.3">
      <c r="K4876" s="7"/>
    </row>
    <row r="4877" spans="11:11" x14ac:dyDescent="0.3">
      <c r="K4877" s="7"/>
    </row>
    <row r="4878" spans="11:11" x14ac:dyDescent="0.3">
      <c r="K4878" s="7"/>
    </row>
    <row r="4879" spans="11:11" x14ac:dyDescent="0.3">
      <c r="K4879" s="7"/>
    </row>
    <row r="4880" spans="11:11" x14ac:dyDescent="0.3">
      <c r="K4880" s="7"/>
    </row>
    <row r="4881" spans="11:11" x14ac:dyDescent="0.3">
      <c r="K4881" s="7"/>
    </row>
    <row r="4882" spans="11:11" x14ac:dyDescent="0.3">
      <c r="K4882" s="7"/>
    </row>
    <row r="4883" spans="11:11" x14ac:dyDescent="0.3">
      <c r="K4883" s="7"/>
    </row>
    <row r="4884" spans="11:11" x14ac:dyDescent="0.3">
      <c r="K4884" s="7"/>
    </row>
    <row r="4885" spans="11:11" x14ac:dyDescent="0.3">
      <c r="K4885" s="7"/>
    </row>
    <row r="4886" spans="11:11" x14ac:dyDescent="0.3">
      <c r="K4886" s="7"/>
    </row>
    <row r="4887" spans="11:11" x14ac:dyDescent="0.3">
      <c r="K4887" s="7"/>
    </row>
    <row r="4888" spans="11:11" x14ac:dyDescent="0.3">
      <c r="K4888" s="7"/>
    </row>
    <row r="4889" spans="11:11" x14ac:dyDescent="0.3">
      <c r="K4889" s="7"/>
    </row>
    <row r="4890" spans="11:11" x14ac:dyDescent="0.3">
      <c r="K4890" s="7"/>
    </row>
    <row r="4891" spans="11:11" x14ac:dyDescent="0.3">
      <c r="K4891" s="7"/>
    </row>
    <row r="4892" spans="11:11" x14ac:dyDescent="0.3">
      <c r="K4892" s="7"/>
    </row>
    <row r="4893" spans="11:11" x14ac:dyDescent="0.3">
      <c r="K4893" s="7"/>
    </row>
    <row r="4894" spans="11:11" x14ac:dyDescent="0.3">
      <c r="K4894" s="7"/>
    </row>
    <row r="4895" spans="11:11" x14ac:dyDescent="0.3">
      <c r="K4895" s="7"/>
    </row>
    <row r="4896" spans="11:11" x14ac:dyDescent="0.3">
      <c r="K4896" s="7"/>
    </row>
    <row r="4897" spans="11:11" x14ac:dyDescent="0.3">
      <c r="K4897" s="7"/>
    </row>
    <row r="4898" spans="11:11" x14ac:dyDescent="0.3">
      <c r="K4898" s="7"/>
    </row>
    <row r="4899" spans="11:11" x14ac:dyDescent="0.3">
      <c r="K4899" s="7"/>
    </row>
    <row r="4900" spans="11:11" x14ac:dyDescent="0.3">
      <c r="K4900" s="7"/>
    </row>
    <row r="4901" spans="11:11" x14ac:dyDescent="0.3">
      <c r="K4901" s="7"/>
    </row>
    <row r="4902" spans="11:11" x14ac:dyDescent="0.3">
      <c r="K4902" s="7"/>
    </row>
    <row r="4903" spans="11:11" x14ac:dyDescent="0.3">
      <c r="K4903" s="7"/>
    </row>
    <row r="4904" spans="11:11" x14ac:dyDescent="0.3">
      <c r="K4904" s="7"/>
    </row>
    <row r="4905" spans="11:11" x14ac:dyDescent="0.3">
      <c r="K4905" s="7"/>
    </row>
    <row r="4906" spans="11:11" x14ac:dyDescent="0.3">
      <c r="K4906" s="7"/>
    </row>
    <row r="4907" spans="11:11" x14ac:dyDescent="0.3">
      <c r="K4907" s="7"/>
    </row>
    <row r="4908" spans="11:11" x14ac:dyDescent="0.3">
      <c r="K4908" s="7"/>
    </row>
    <row r="4909" spans="11:11" x14ac:dyDescent="0.3">
      <c r="K4909" s="7"/>
    </row>
    <row r="4910" spans="11:11" x14ac:dyDescent="0.3">
      <c r="K4910" s="7"/>
    </row>
    <row r="4911" spans="11:11" x14ac:dyDescent="0.3">
      <c r="K4911" s="7"/>
    </row>
    <row r="4912" spans="11:11" x14ac:dyDescent="0.3">
      <c r="K4912" s="7"/>
    </row>
    <row r="4913" spans="11:11" x14ac:dyDescent="0.3">
      <c r="K4913" s="7"/>
    </row>
    <row r="4914" spans="11:11" x14ac:dyDescent="0.3">
      <c r="K4914" s="7"/>
    </row>
    <row r="4915" spans="11:11" x14ac:dyDescent="0.3">
      <c r="K4915" s="7"/>
    </row>
    <row r="4916" spans="11:11" x14ac:dyDescent="0.3">
      <c r="K4916" s="7"/>
    </row>
    <row r="4917" spans="11:11" x14ac:dyDescent="0.3">
      <c r="K4917" s="7"/>
    </row>
    <row r="4918" spans="11:11" x14ac:dyDescent="0.3">
      <c r="K4918" s="7"/>
    </row>
    <row r="4919" spans="11:11" x14ac:dyDescent="0.3">
      <c r="K4919" s="7"/>
    </row>
    <row r="4920" spans="11:11" x14ac:dyDescent="0.3">
      <c r="K4920" s="7"/>
    </row>
    <row r="4921" spans="11:11" x14ac:dyDescent="0.3">
      <c r="K4921" s="7"/>
    </row>
    <row r="4922" spans="11:11" x14ac:dyDescent="0.3">
      <c r="K4922" s="7"/>
    </row>
    <row r="4923" spans="11:11" x14ac:dyDescent="0.3">
      <c r="K4923" s="7"/>
    </row>
    <row r="4924" spans="11:11" x14ac:dyDescent="0.3">
      <c r="K4924" s="7"/>
    </row>
    <row r="4925" spans="11:11" x14ac:dyDescent="0.3">
      <c r="K4925" s="7"/>
    </row>
    <row r="4926" spans="11:11" x14ac:dyDescent="0.3">
      <c r="K4926" s="7"/>
    </row>
    <row r="4927" spans="11:11" x14ac:dyDescent="0.3">
      <c r="K4927" s="7"/>
    </row>
    <row r="4928" spans="11:11" x14ac:dyDescent="0.3">
      <c r="K4928" s="7"/>
    </row>
    <row r="4929" spans="11:11" x14ac:dyDescent="0.3">
      <c r="K4929" s="7"/>
    </row>
    <row r="4930" spans="11:11" x14ac:dyDescent="0.3">
      <c r="K4930" s="7"/>
    </row>
    <row r="4931" spans="11:11" x14ac:dyDescent="0.3">
      <c r="K4931" s="7"/>
    </row>
    <row r="4932" spans="11:11" x14ac:dyDescent="0.3">
      <c r="K4932" s="7"/>
    </row>
    <row r="4933" spans="11:11" x14ac:dyDescent="0.3">
      <c r="K4933" s="7"/>
    </row>
    <row r="4934" spans="11:11" x14ac:dyDescent="0.3">
      <c r="K4934" s="7"/>
    </row>
    <row r="4935" spans="11:11" x14ac:dyDescent="0.3">
      <c r="K4935" s="7"/>
    </row>
    <row r="4936" spans="11:11" x14ac:dyDescent="0.3">
      <c r="K4936" s="7"/>
    </row>
    <row r="4937" spans="11:11" x14ac:dyDescent="0.3">
      <c r="K4937" s="7"/>
    </row>
    <row r="4938" spans="11:11" x14ac:dyDescent="0.3">
      <c r="K4938" s="7"/>
    </row>
    <row r="4939" spans="11:11" x14ac:dyDescent="0.3">
      <c r="K4939" s="7"/>
    </row>
    <row r="4940" spans="11:11" x14ac:dyDescent="0.3">
      <c r="K4940" s="7"/>
    </row>
    <row r="4941" spans="11:11" x14ac:dyDescent="0.3">
      <c r="K4941" s="7"/>
    </row>
    <row r="4942" spans="11:11" x14ac:dyDescent="0.3">
      <c r="K4942" s="7"/>
    </row>
    <row r="4943" spans="11:11" x14ac:dyDescent="0.3">
      <c r="K4943" s="7"/>
    </row>
    <row r="4944" spans="11:11" x14ac:dyDescent="0.3">
      <c r="K4944" s="7"/>
    </row>
    <row r="4945" spans="11:11" x14ac:dyDescent="0.3">
      <c r="K4945" s="7"/>
    </row>
    <row r="4946" spans="11:11" x14ac:dyDescent="0.3">
      <c r="K4946" s="7"/>
    </row>
    <row r="4947" spans="11:11" x14ac:dyDescent="0.3">
      <c r="K4947" s="7"/>
    </row>
    <row r="4948" spans="11:11" x14ac:dyDescent="0.3">
      <c r="K4948" s="7"/>
    </row>
    <row r="4949" spans="11:11" x14ac:dyDescent="0.3">
      <c r="K4949" s="7"/>
    </row>
    <row r="4950" spans="11:11" x14ac:dyDescent="0.3">
      <c r="K4950" s="7"/>
    </row>
    <row r="4951" spans="11:11" x14ac:dyDescent="0.3">
      <c r="K4951" s="7"/>
    </row>
    <row r="4952" spans="11:11" x14ac:dyDescent="0.3">
      <c r="K4952" s="7"/>
    </row>
    <row r="4953" spans="11:11" x14ac:dyDescent="0.3">
      <c r="K4953" s="7"/>
    </row>
    <row r="4954" spans="11:11" x14ac:dyDescent="0.3">
      <c r="K4954" s="7"/>
    </row>
    <row r="4955" spans="11:11" x14ac:dyDescent="0.3">
      <c r="K4955" s="7"/>
    </row>
    <row r="4956" spans="11:11" x14ac:dyDescent="0.3">
      <c r="K4956" s="7"/>
    </row>
    <row r="4957" spans="11:11" x14ac:dyDescent="0.3">
      <c r="K4957" s="7"/>
    </row>
    <row r="4958" spans="11:11" x14ac:dyDescent="0.3">
      <c r="K4958" s="7"/>
    </row>
    <row r="4959" spans="11:11" x14ac:dyDescent="0.3">
      <c r="K4959" s="7"/>
    </row>
    <row r="4960" spans="11:11" x14ac:dyDescent="0.3">
      <c r="K4960" s="7"/>
    </row>
    <row r="4961" spans="11:11" x14ac:dyDescent="0.3">
      <c r="K4961" s="7"/>
    </row>
    <row r="4962" spans="11:11" x14ac:dyDescent="0.3">
      <c r="K4962" s="7"/>
    </row>
    <row r="4963" spans="11:11" x14ac:dyDescent="0.3">
      <c r="K4963" s="7"/>
    </row>
    <row r="4964" spans="11:11" x14ac:dyDescent="0.3">
      <c r="K4964" s="7"/>
    </row>
    <row r="4965" spans="11:11" x14ac:dyDescent="0.3">
      <c r="K4965" s="7"/>
    </row>
    <row r="4966" spans="11:11" x14ac:dyDescent="0.3">
      <c r="K4966" s="7"/>
    </row>
    <row r="4967" spans="11:11" x14ac:dyDescent="0.3">
      <c r="K4967" s="7"/>
    </row>
    <row r="4968" spans="11:11" x14ac:dyDescent="0.3">
      <c r="K4968" s="7"/>
    </row>
    <row r="4969" spans="11:11" x14ac:dyDescent="0.3">
      <c r="K4969" s="7"/>
    </row>
    <row r="4970" spans="11:11" x14ac:dyDescent="0.3">
      <c r="K4970" s="7"/>
    </row>
    <row r="4971" spans="11:11" x14ac:dyDescent="0.3">
      <c r="K4971" s="7"/>
    </row>
    <row r="4972" spans="11:11" x14ac:dyDescent="0.3">
      <c r="K4972" s="7"/>
    </row>
    <row r="4973" spans="11:11" x14ac:dyDescent="0.3">
      <c r="K4973" s="7"/>
    </row>
    <row r="4974" spans="11:11" x14ac:dyDescent="0.3">
      <c r="K4974" s="7"/>
    </row>
    <row r="4975" spans="11:11" x14ac:dyDescent="0.3">
      <c r="K4975" s="7"/>
    </row>
    <row r="4976" spans="11:11" x14ac:dyDescent="0.3">
      <c r="K4976" s="7"/>
    </row>
    <row r="4977" spans="11:11" x14ac:dyDescent="0.3">
      <c r="K4977" s="7"/>
    </row>
    <row r="4978" spans="11:11" x14ac:dyDescent="0.3">
      <c r="K4978" s="7"/>
    </row>
    <row r="4979" spans="11:11" x14ac:dyDescent="0.3">
      <c r="K4979" s="7"/>
    </row>
    <row r="4980" spans="11:11" x14ac:dyDescent="0.3">
      <c r="K4980" s="7"/>
    </row>
    <row r="4981" spans="11:11" x14ac:dyDescent="0.3">
      <c r="K4981" s="7"/>
    </row>
    <row r="4982" spans="11:11" x14ac:dyDescent="0.3">
      <c r="K4982" s="7"/>
    </row>
    <row r="4983" spans="11:11" x14ac:dyDescent="0.3">
      <c r="K4983" s="7"/>
    </row>
    <row r="4984" spans="11:11" x14ac:dyDescent="0.3">
      <c r="K4984" s="7"/>
    </row>
    <row r="4985" spans="11:11" x14ac:dyDescent="0.3">
      <c r="K4985" s="7"/>
    </row>
    <row r="4986" spans="11:11" x14ac:dyDescent="0.3">
      <c r="K4986" s="7"/>
    </row>
    <row r="4987" spans="11:11" x14ac:dyDescent="0.3">
      <c r="K4987" s="7"/>
    </row>
    <row r="4988" spans="11:11" x14ac:dyDescent="0.3">
      <c r="K4988" s="7"/>
    </row>
    <row r="4989" spans="11:11" x14ac:dyDescent="0.3">
      <c r="K4989" s="7"/>
    </row>
    <row r="4990" spans="11:11" x14ac:dyDescent="0.3">
      <c r="K4990" s="7"/>
    </row>
    <row r="4991" spans="11:11" x14ac:dyDescent="0.3">
      <c r="K4991" s="7"/>
    </row>
    <row r="4992" spans="11:11" x14ac:dyDescent="0.3">
      <c r="K4992" s="7"/>
    </row>
    <row r="4993" spans="11:11" x14ac:dyDescent="0.3">
      <c r="K4993" s="7"/>
    </row>
    <row r="4994" spans="11:11" x14ac:dyDescent="0.3">
      <c r="K4994" s="7"/>
    </row>
    <row r="4995" spans="11:11" x14ac:dyDescent="0.3">
      <c r="K4995" s="7"/>
    </row>
    <row r="4996" spans="11:11" x14ac:dyDescent="0.3">
      <c r="K4996" s="7"/>
    </row>
    <row r="4997" spans="11:11" x14ac:dyDescent="0.3">
      <c r="K4997" s="7"/>
    </row>
    <row r="4998" spans="11:11" x14ac:dyDescent="0.3">
      <c r="K4998" s="7"/>
    </row>
    <row r="4999" spans="11:11" x14ac:dyDescent="0.3">
      <c r="K4999" s="7"/>
    </row>
    <row r="5000" spans="11:11" x14ac:dyDescent="0.3">
      <c r="K5000" s="7"/>
    </row>
    <row r="5001" spans="11:11" x14ac:dyDescent="0.3">
      <c r="K5001" s="7"/>
    </row>
    <row r="5002" spans="11:11" x14ac:dyDescent="0.3">
      <c r="K5002" s="7"/>
    </row>
    <row r="5003" spans="11:11" x14ac:dyDescent="0.3">
      <c r="K5003" s="7"/>
    </row>
    <row r="5004" spans="11:11" x14ac:dyDescent="0.3">
      <c r="K5004" s="7"/>
    </row>
    <row r="5005" spans="11:11" x14ac:dyDescent="0.3">
      <c r="K5005" s="7"/>
    </row>
    <row r="5006" spans="11:11" x14ac:dyDescent="0.3">
      <c r="K5006" s="7"/>
    </row>
    <row r="5007" spans="11:11" x14ac:dyDescent="0.3">
      <c r="K5007" s="7"/>
    </row>
    <row r="5008" spans="11:11" x14ac:dyDescent="0.3">
      <c r="K5008" s="7"/>
    </row>
    <row r="5009" spans="11:11" x14ac:dyDescent="0.3">
      <c r="K5009" s="7"/>
    </row>
    <row r="5010" spans="11:11" x14ac:dyDescent="0.3">
      <c r="K5010" s="7"/>
    </row>
    <row r="5011" spans="11:11" x14ac:dyDescent="0.3">
      <c r="K5011" s="7"/>
    </row>
    <row r="5012" spans="11:11" x14ac:dyDescent="0.3">
      <c r="K5012" s="7"/>
    </row>
    <row r="5013" spans="11:11" x14ac:dyDescent="0.3">
      <c r="K5013" s="7"/>
    </row>
    <row r="5014" spans="11:11" x14ac:dyDescent="0.3">
      <c r="K5014" s="7"/>
    </row>
    <row r="5015" spans="11:11" x14ac:dyDescent="0.3">
      <c r="K5015" s="7"/>
    </row>
    <row r="5016" spans="11:11" x14ac:dyDescent="0.3">
      <c r="K5016" s="7"/>
    </row>
    <row r="5017" spans="11:11" x14ac:dyDescent="0.3">
      <c r="K5017" s="7"/>
    </row>
    <row r="5018" spans="11:11" x14ac:dyDescent="0.3">
      <c r="K5018" s="7"/>
    </row>
    <row r="5019" spans="11:11" x14ac:dyDescent="0.3">
      <c r="K5019" s="7"/>
    </row>
    <row r="5020" spans="11:11" x14ac:dyDescent="0.3">
      <c r="K5020" s="7"/>
    </row>
    <row r="5021" spans="11:11" x14ac:dyDescent="0.3">
      <c r="K5021" s="7"/>
    </row>
    <row r="5022" spans="11:11" x14ac:dyDescent="0.3">
      <c r="K5022" s="7"/>
    </row>
    <row r="5023" spans="11:11" x14ac:dyDescent="0.3">
      <c r="K5023" s="7"/>
    </row>
    <row r="5024" spans="11:11" x14ac:dyDescent="0.3">
      <c r="K5024" s="7"/>
    </row>
    <row r="5025" spans="11:11" x14ac:dyDescent="0.3">
      <c r="K5025" s="7"/>
    </row>
    <row r="5026" spans="11:11" x14ac:dyDescent="0.3">
      <c r="K5026" s="7"/>
    </row>
    <row r="5027" spans="11:11" x14ac:dyDescent="0.3">
      <c r="K5027" s="7"/>
    </row>
    <row r="5028" spans="11:11" x14ac:dyDescent="0.3">
      <c r="K5028" s="7"/>
    </row>
    <row r="5029" spans="11:11" x14ac:dyDescent="0.3">
      <c r="K5029" s="7"/>
    </row>
    <row r="5030" spans="11:11" x14ac:dyDescent="0.3">
      <c r="K5030" s="7"/>
    </row>
    <row r="5031" spans="11:11" x14ac:dyDescent="0.3">
      <c r="K5031" s="7"/>
    </row>
    <row r="5032" spans="11:11" x14ac:dyDescent="0.3">
      <c r="K5032" s="7"/>
    </row>
    <row r="5033" spans="11:11" x14ac:dyDescent="0.3">
      <c r="K5033" s="7"/>
    </row>
    <row r="5034" spans="11:11" x14ac:dyDescent="0.3">
      <c r="K5034" s="7"/>
    </row>
    <row r="5035" spans="11:11" x14ac:dyDescent="0.3">
      <c r="K5035" s="7"/>
    </row>
    <row r="5036" spans="11:11" x14ac:dyDescent="0.3">
      <c r="K5036" s="7"/>
    </row>
    <row r="5037" spans="11:11" x14ac:dyDescent="0.3">
      <c r="K5037" s="7"/>
    </row>
    <row r="5038" spans="11:11" x14ac:dyDescent="0.3">
      <c r="K5038" s="7"/>
    </row>
    <row r="5039" spans="11:11" x14ac:dyDescent="0.3">
      <c r="K5039" s="7"/>
    </row>
    <row r="5040" spans="11:11" x14ac:dyDescent="0.3">
      <c r="K5040" s="7"/>
    </row>
    <row r="5041" spans="11:11" x14ac:dyDescent="0.3">
      <c r="K5041" s="7"/>
    </row>
    <row r="5042" spans="11:11" x14ac:dyDescent="0.3">
      <c r="K5042" s="7"/>
    </row>
    <row r="5043" spans="11:11" x14ac:dyDescent="0.3">
      <c r="K5043" s="7"/>
    </row>
    <row r="5044" spans="11:11" x14ac:dyDescent="0.3">
      <c r="K5044" s="7"/>
    </row>
    <row r="5045" spans="11:11" x14ac:dyDescent="0.3">
      <c r="K5045" s="7"/>
    </row>
    <row r="5046" spans="11:11" x14ac:dyDescent="0.3">
      <c r="K5046" s="7"/>
    </row>
    <row r="5047" spans="11:11" x14ac:dyDescent="0.3">
      <c r="K5047" s="7"/>
    </row>
    <row r="5048" spans="11:11" x14ac:dyDescent="0.3">
      <c r="K5048" s="7"/>
    </row>
    <row r="5049" spans="11:11" x14ac:dyDescent="0.3">
      <c r="K5049" s="7"/>
    </row>
    <row r="5050" spans="11:11" x14ac:dyDescent="0.3">
      <c r="K5050" s="7"/>
    </row>
    <row r="5051" spans="11:11" x14ac:dyDescent="0.3">
      <c r="K5051" s="7"/>
    </row>
    <row r="5052" spans="11:11" x14ac:dyDescent="0.3">
      <c r="K5052" s="7"/>
    </row>
    <row r="5053" spans="11:11" x14ac:dyDescent="0.3">
      <c r="K5053" s="7"/>
    </row>
    <row r="5054" spans="11:11" x14ac:dyDescent="0.3">
      <c r="K5054" s="7"/>
    </row>
    <row r="5055" spans="11:11" x14ac:dyDescent="0.3">
      <c r="K5055" s="7"/>
    </row>
    <row r="5056" spans="11:11" x14ac:dyDescent="0.3">
      <c r="K5056" s="7"/>
    </row>
    <row r="5057" spans="11:11" x14ac:dyDescent="0.3">
      <c r="K5057" s="7"/>
    </row>
    <row r="5058" spans="11:11" x14ac:dyDescent="0.3">
      <c r="K5058" s="7"/>
    </row>
    <row r="5059" spans="11:11" x14ac:dyDescent="0.3">
      <c r="K5059" s="7"/>
    </row>
    <row r="5060" spans="11:11" x14ac:dyDescent="0.3">
      <c r="K5060" s="7"/>
    </row>
    <row r="5061" spans="11:11" x14ac:dyDescent="0.3">
      <c r="K5061" s="7"/>
    </row>
    <row r="5062" spans="11:11" x14ac:dyDescent="0.3">
      <c r="K5062" s="7"/>
    </row>
    <row r="5063" spans="11:11" x14ac:dyDescent="0.3">
      <c r="K5063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E2BE-DF8F-4217-8D56-81E1183FDFE5}">
  <dimension ref="B2:E1267"/>
  <sheetViews>
    <sheetView topLeftCell="A1041" zoomScale="105" workbookViewId="0">
      <selection activeCell="F1050" sqref="F1050"/>
    </sheetView>
  </sheetViews>
  <sheetFormatPr defaultRowHeight="14.4" x14ac:dyDescent="0.3"/>
  <sheetData>
    <row r="2" spans="2:5" x14ac:dyDescent="0.3">
      <c r="B2" s="6" t="s">
        <v>89</v>
      </c>
      <c r="C2" s="6" t="s">
        <v>0</v>
      </c>
      <c r="D2" s="6" t="s">
        <v>90</v>
      </c>
      <c r="E2" s="6" t="s">
        <v>91</v>
      </c>
    </row>
    <row r="3" spans="2:5" x14ac:dyDescent="0.3">
      <c r="B3" s="7">
        <v>45322</v>
      </c>
      <c r="C3" t="s">
        <v>3</v>
      </c>
      <c r="D3" t="s">
        <v>92</v>
      </c>
      <c r="E3">
        <v>1302</v>
      </c>
    </row>
    <row r="4" spans="2:5" x14ac:dyDescent="0.3">
      <c r="B4" s="7">
        <v>45322</v>
      </c>
      <c r="C4" t="s">
        <v>3</v>
      </c>
      <c r="D4" t="s">
        <v>93</v>
      </c>
      <c r="E4">
        <v>1068</v>
      </c>
    </row>
    <row r="5" spans="2:5" x14ac:dyDescent="0.3">
      <c r="B5" s="7">
        <v>45322</v>
      </c>
      <c r="C5" t="s">
        <v>3</v>
      </c>
      <c r="D5" t="s">
        <v>94</v>
      </c>
      <c r="E5">
        <v>979</v>
      </c>
    </row>
    <row r="6" spans="2:5" x14ac:dyDescent="0.3">
      <c r="B6" s="7">
        <v>45322</v>
      </c>
      <c r="C6" t="s">
        <v>3</v>
      </c>
      <c r="D6" t="s">
        <v>95</v>
      </c>
      <c r="E6">
        <v>1246</v>
      </c>
    </row>
    <row r="7" spans="2:5" x14ac:dyDescent="0.3">
      <c r="B7" s="7">
        <v>45322</v>
      </c>
      <c r="C7" t="s">
        <v>3</v>
      </c>
      <c r="D7" t="s">
        <v>96</v>
      </c>
      <c r="E7">
        <v>712</v>
      </c>
    </row>
    <row r="8" spans="2:5" x14ac:dyDescent="0.3">
      <c r="B8" s="7">
        <v>45322</v>
      </c>
      <c r="C8" t="s">
        <v>3</v>
      </c>
      <c r="D8" t="s">
        <v>97</v>
      </c>
      <c r="E8">
        <v>712</v>
      </c>
    </row>
    <row r="9" spans="2:5" x14ac:dyDescent="0.3">
      <c r="B9" s="7">
        <v>45322</v>
      </c>
      <c r="C9" t="s">
        <v>3</v>
      </c>
      <c r="D9" t="s">
        <v>98</v>
      </c>
      <c r="E9">
        <v>534</v>
      </c>
    </row>
    <row r="10" spans="2:5" x14ac:dyDescent="0.3">
      <c r="B10" s="7">
        <v>45322</v>
      </c>
      <c r="C10" t="s">
        <v>3</v>
      </c>
      <c r="D10" t="s">
        <v>99</v>
      </c>
      <c r="E10">
        <v>623</v>
      </c>
    </row>
    <row r="11" spans="2:5" x14ac:dyDescent="0.3">
      <c r="B11" s="7">
        <v>45322</v>
      </c>
      <c r="C11" t="s">
        <v>3</v>
      </c>
      <c r="D11" t="s">
        <v>100</v>
      </c>
      <c r="E11">
        <v>534</v>
      </c>
    </row>
    <row r="12" spans="2:5" x14ac:dyDescent="0.3">
      <c r="B12" s="7">
        <v>45322</v>
      </c>
      <c r="C12" t="s">
        <v>3</v>
      </c>
      <c r="D12" t="s">
        <v>101</v>
      </c>
      <c r="E12">
        <v>545</v>
      </c>
    </row>
    <row r="13" spans="2:5" x14ac:dyDescent="0.3">
      <c r="B13" s="7">
        <v>45322</v>
      </c>
      <c r="C13" t="s">
        <v>3</v>
      </c>
      <c r="D13" t="s">
        <v>102</v>
      </c>
      <c r="E13">
        <v>445</v>
      </c>
    </row>
    <row r="14" spans="2:5" x14ac:dyDescent="0.3">
      <c r="B14" s="7">
        <v>45322</v>
      </c>
      <c r="C14" t="s">
        <v>9</v>
      </c>
      <c r="D14" t="s">
        <v>92</v>
      </c>
      <c r="E14">
        <v>2204</v>
      </c>
    </row>
    <row r="15" spans="2:5" x14ac:dyDescent="0.3">
      <c r="B15" s="7">
        <v>45322</v>
      </c>
      <c r="C15" t="s">
        <v>9</v>
      </c>
      <c r="D15" t="s">
        <v>93</v>
      </c>
      <c r="E15">
        <v>2136</v>
      </c>
    </row>
    <row r="16" spans="2:5" x14ac:dyDescent="0.3">
      <c r="B16" s="7">
        <v>45322</v>
      </c>
      <c r="C16" t="s">
        <v>9</v>
      </c>
      <c r="D16" t="s">
        <v>94</v>
      </c>
      <c r="E16">
        <v>1958</v>
      </c>
    </row>
    <row r="17" spans="2:5" x14ac:dyDescent="0.3">
      <c r="B17" s="7">
        <v>45322</v>
      </c>
      <c r="C17" t="s">
        <v>9</v>
      </c>
      <c r="D17" t="s">
        <v>95</v>
      </c>
      <c r="E17">
        <v>2492</v>
      </c>
    </row>
    <row r="18" spans="2:5" x14ac:dyDescent="0.3">
      <c r="B18" s="7">
        <v>45322</v>
      </c>
      <c r="C18" t="s">
        <v>9</v>
      </c>
      <c r="D18" t="s">
        <v>96</v>
      </c>
      <c r="E18">
        <v>1424</v>
      </c>
    </row>
    <row r="19" spans="2:5" x14ac:dyDescent="0.3">
      <c r="B19" s="7">
        <v>45322</v>
      </c>
      <c r="C19" t="s">
        <v>9</v>
      </c>
      <c r="D19" t="s">
        <v>97</v>
      </c>
      <c r="E19">
        <v>1424</v>
      </c>
    </row>
    <row r="20" spans="2:5" x14ac:dyDescent="0.3">
      <c r="B20" s="7">
        <v>45322</v>
      </c>
      <c r="C20" t="s">
        <v>9</v>
      </c>
      <c r="D20" t="s">
        <v>98</v>
      </c>
      <c r="E20">
        <v>1068</v>
      </c>
    </row>
    <row r="21" spans="2:5" x14ac:dyDescent="0.3">
      <c r="B21" s="7">
        <v>45322</v>
      </c>
      <c r="C21" t="s">
        <v>9</v>
      </c>
      <c r="D21" t="s">
        <v>99</v>
      </c>
      <c r="E21">
        <v>1246</v>
      </c>
    </row>
    <row r="22" spans="2:5" x14ac:dyDescent="0.3">
      <c r="B22" s="7">
        <v>45322</v>
      </c>
      <c r="C22" t="s">
        <v>9</v>
      </c>
      <c r="D22" t="s">
        <v>100</v>
      </c>
      <c r="E22">
        <v>1068</v>
      </c>
    </row>
    <row r="23" spans="2:5" x14ac:dyDescent="0.3">
      <c r="B23" s="7">
        <v>45322</v>
      </c>
      <c r="C23" t="s">
        <v>9</v>
      </c>
      <c r="D23" t="s">
        <v>101</v>
      </c>
      <c r="E23">
        <v>890</v>
      </c>
    </row>
    <row r="24" spans="2:5" x14ac:dyDescent="0.3">
      <c r="B24" s="7">
        <v>45322</v>
      </c>
      <c r="C24" t="s">
        <v>9</v>
      </c>
      <c r="D24" t="s">
        <v>102</v>
      </c>
      <c r="E24">
        <v>890</v>
      </c>
    </row>
    <row r="25" spans="2:5" x14ac:dyDescent="0.3">
      <c r="B25" s="7">
        <v>45322</v>
      </c>
      <c r="C25" t="s">
        <v>69</v>
      </c>
      <c r="D25" t="s">
        <v>92</v>
      </c>
      <c r="E25">
        <v>5400</v>
      </c>
    </row>
    <row r="26" spans="2:5" x14ac:dyDescent="0.3">
      <c r="B26" s="7">
        <v>45322</v>
      </c>
      <c r="C26" t="s">
        <v>69</v>
      </c>
      <c r="D26" t="s">
        <v>93</v>
      </c>
      <c r="E26">
        <v>4600</v>
      </c>
    </row>
    <row r="27" spans="2:5" x14ac:dyDescent="0.3">
      <c r="B27" s="7">
        <v>45322</v>
      </c>
      <c r="C27" t="s">
        <v>69</v>
      </c>
      <c r="D27" t="s">
        <v>94</v>
      </c>
      <c r="E27">
        <v>3300</v>
      </c>
    </row>
    <row r="28" spans="2:5" x14ac:dyDescent="0.3">
      <c r="B28" s="7">
        <v>45322</v>
      </c>
      <c r="C28" t="s">
        <v>69</v>
      </c>
      <c r="D28" t="s">
        <v>95</v>
      </c>
      <c r="E28">
        <v>4200</v>
      </c>
    </row>
    <row r="29" spans="2:5" x14ac:dyDescent="0.3">
      <c r="B29" s="7">
        <v>45322</v>
      </c>
      <c r="C29" t="s">
        <v>69</v>
      </c>
      <c r="D29" t="s">
        <v>96</v>
      </c>
      <c r="E29">
        <v>2400</v>
      </c>
    </row>
    <row r="30" spans="2:5" x14ac:dyDescent="0.3">
      <c r="B30" s="7">
        <v>45322</v>
      </c>
      <c r="C30" t="s">
        <v>69</v>
      </c>
      <c r="D30" t="s">
        <v>97</v>
      </c>
      <c r="E30">
        <v>2400</v>
      </c>
    </row>
    <row r="31" spans="2:5" x14ac:dyDescent="0.3">
      <c r="B31" s="7">
        <v>45322</v>
      </c>
      <c r="C31" t="s">
        <v>69</v>
      </c>
      <c r="D31" t="s">
        <v>98</v>
      </c>
      <c r="E31">
        <v>1800</v>
      </c>
    </row>
    <row r="32" spans="2:5" x14ac:dyDescent="0.3">
      <c r="B32" s="7">
        <v>45322</v>
      </c>
      <c r="C32" t="s">
        <v>69</v>
      </c>
      <c r="D32" t="s">
        <v>99</v>
      </c>
      <c r="E32">
        <v>2100</v>
      </c>
    </row>
    <row r="33" spans="2:5" x14ac:dyDescent="0.3">
      <c r="B33" s="7">
        <v>45322</v>
      </c>
      <c r="C33" t="s">
        <v>69</v>
      </c>
      <c r="D33" t="s">
        <v>100</v>
      </c>
      <c r="E33">
        <v>1800</v>
      </c>
    </row>
    <row r="34" spans="2:5" x14ac:dyDescent="0.3">
      <c r="B34" s="7">
        <v>45322</v>
      </c>
      <c r="C34" t="s">
        <v>69</v>
      </c>
      <c r="D34" t="s">
        <v>101</v>
      </c>
      <c r="E34">
        <v>1500</v>
      </c>
    </row>
    <row r="35" spans="2:5" x14ac:dyDescent="0.3">
      <c r="B35" s="7">
        <v>45322</v>
      </c>
      <c r="C35" t="s">
        <v>69</v>
      </c>
      <c r="D35" t="s">
        <v>102</v>
      </c>
      <c r="E35">
        <v>1500</v>
      </c>
    </row>
    <row r="36" spans="2:5" x14ac:dyDescent="0.3">
      <c r="B36" s="7">
        <v>45322</v>
      </c>
      <c r="C36" t="s">
        <v>21</v>
      </c>
      <c r="D36" t="s">
        <v>92</v>
      </c>
      <c r="E36">
        <v>522</v>
      </c>
    </row>
    <row r="37" spans="2:5" x14ac:dyDescent="0.3">
      <c r="B37" s="7">
        <v>45322</v>
      </c>
      <c r="C37" t="s">
        <v>21</v>
      </c>
      <c r="D37" t="s">
        <v>93</v>
      </c>
      <c r="E37">
        <v>348</v>
      </c>
    </row>
    <row r="38" spans="2:5" x14ac:dyDescent="0.3">
      <c r="B38" s="7">
        <v>45322</v>
      </c>
      <c r="C38" t="s">
        <v>21</v>
      </c>
      <c r="D38" t="s">
        <v>94</v>
      </c>
      <c r="E38">
        <v>319</v>
      </c>
    </row>
    <row r="39" spans="2:5" x14ac:dyDescent="0.3">
      <c r="B39" s="7">
        <v>45322</v>
      </c>
      <c r="C39" t="s">
        <v>21</v>
      </c>
      <c r="D39" t="s">
        <v>95</v>
      </c>
      <c r="E39">
        <v>406</v>
      </c>
    </row>
    <row r="40" spans="2:5" x14ac:dyDescent="0.3">
      <c r="B40" s="7">
        <v>45322</v>
      </c>
      <c r="C40" t="s">
        <v>21</v>
      </c>
      <c r="D40" t="s">
        <v>96</v>
      </c>
      <c r="E40">
        <v>232</v>
      </c>
    </row>
    <row r="41" spans="2:5" x14ac:dyDescent="0.3">
      <c r="B41" s="7">
        <v>45322</v>
      </c>
      <c r="C41" t="s">
        <v>21</v>
      </c>
      <c r="D41" t="s">
        <v>97</v>
      </c>
      <c r="E41">
        <v>232</v>
      </c>
    </row>
    <row r="42" spans="2:5" x14ac:dyDescent="0.3">
      <c r="B42" s="7">
        <v>45322</v>
      </c>
      <c r="C42" t="s">
        <v>21</v>
      </c>
      <c r="D42" t="s">
        <v>98</v>
      </c>
      <c r="E42">
        <v>174</v>
      </c>
    </row>
    <row r="43" spans="2:5" x14ac:dyDescent="0.3">
      <c r="B43" s="7">
        <v>45322</v>
      </c>
      <c r="C43" t="s">
        <v>21</v>
      </c>
      <c r="D43" t="s">
        <v>99</v>
      </c>
      <c r="E43">
        <v>203</v>
      </c>
    </row>
    <row r="44" spans="2:5" x14ac:dyDescent="0.3">
      <c r="B44" s="7">
        <v>45322</v>
      </c>
      <c r="C44" t="s">
        <v>21</v>
      </c>
      <c r="D44" t="s">
        <v>100</v>
      </c>
      <c r="E44">
        <v>174</v>
      </c>
    </row>
    <row r="45" spans="2:5" x14ac:dyDescent="0.3">
      <c r="B45" s="7">
        <v>45322</v>
      </c>
      <c r="C45" t="s">
        <v>21</v>
      </c>
      <c r="D45" t="s">
        <v>101</v>
      </c>
      <c r="E45">
        <v>145</v>
      </c>
    </row>
    <row r="46" spans="2:5" x14ac:dyDescent="0.3">
      <c r="B46" s="7">
        <v>45322</v>
      </c>
      <c r="C46" t="s">
        <v>21</v>
      </c>
      <c r="D46" t="s">
        <v>102</v>
      </c>
      <c r="E46">
        <v>145</v>
      </c>
    </row>
    <row r="47" spans="2:5" x14ac:dyDescent="0.3">
      <c r="B47" s="7">
        <v>45322</v>
      </c>
      <c r="C47" t="s">
        <v>26</v>
      </c>
      <c r="D47" t="s">
        <v>92</v>
      </c>
      <c r="E47">
        <v>2160</v>
      </c>
    </row>
    <row r="48" spans="2:5" x14ac:dyDescent="0.3">
      <c r="B48" s="7">
        <v>45322</v>
      </c>
      <c r="C48" t="s">
        <v>26</v>
      </c>
      <c r="D48" t="s">
        <v>93</v>
      </c>
      <c r="E48">
        <v>1440</v>
      </c>
    </row>
    <row r="49" spans="2:5" x14ac:dyDescent="0.3">
      <c r="B49" s="7">
        <v>45322</v>
      </c>
      <c r="C49" t="s">
        <v>26</v>
      </c>
      <c r="D49" t="s">
        <v>94</v>
      </c>
      <c r="E49">
        <v>1320</v>
      </c>
    </row>
    <row r="50" spans="2:5" x14ac:dyDescent="0.3">
      <c r="B50" s="7">
        <v>45322</v>
      </c>
      <c r="C50" t="s">
        <v>26</v>
      </c>
      <c r="D50" t="s">
        <v>95</v>
      </c>
      <c r="E50">
        <v>1680</v>
      </c>
    </row>
    <row r="51" spans="2:5" x14ac:dyDescent="0.3">
      <c r="B51" s="7">
        <v>45322</v>
      </c>
      <c r="C51" t="s">
        <v>26</v>
      </c>
      <c r="D51" t="s">
        <v>96</v>
      </c>
      <c r="E51">
        <v>960</v>
      </c>
    </row>
    <row r="52" spans="2:5" x14ac:dyDescent="0.3">
      <c r="B52" s="7">
        <v>45322</v>
      </c>
      <c r="C52" t="s">
        <v>26</v>
      </c>
      <c r="D52" t="s">
        <v>97</v>
      </c>
      <c r="E52">
        <v>960</v>
      </c>
    </row>
    <row r="53" spans="2:5" x14ac:dyDescent="0.3">
      <c r="B53" s="7">
        <v>45322</v>
      </c>
      <c r="C53" t="s">
        <v>26</v>
      </c>
      <c r="D53" t="s">
        <v>98</v>
      </c>
      <c r="E53">
        <v>720</v>
      </c>
    </row>
    <row r="54" spans="2:5" x14ac:dyDescent="0.3">
      <c r="B54" s="7">
        <v>45322</v>
      </c>
      <c r="C54" t="s">
        <v>26</v>
      </c>
      <c r="D54" t="s">
        <v>99</v>
      </c>
      <c r="E54">
        <v>840</v>
      </c>
    </row>
    <row r="55" spans="2:5" x14ac:dyDescent="0.3">
      <c r="B55" s="7">
        <v>45322</v>
      </c>
      <c r="C55" t="s">
        <v>26</v>
      </c>
      <c r="D55" t="s">
        <v>100</v>
      </c>
      <c r="E55">
        <v>720</v>
      </c>
    </row>
    <row r="56" spans="2:5" x14ac:dyDescent="0.3">
      <c r="B56" s="7">
        <v>45322</v>
      </c>
      <c r="C56" t="s">
        <v>26</v>
      </c>
      <c r="D56" t="s">
        <v>101</v>
      </c>
      <c r="E56">
        <v>600</v>
      </c>
    </row>
    <row r="57" spans="2:5" x14ac:dyDescent="0.3">
      <c r="B57" s="7">
        <v>45322</v>
      </c>
      <c r="C57" t="s">
        <v>26</v>
      </c>
      <c r="D57" t="s">
        <v>102</v>
      </c>
      <c r="E57">
        <v>600</v>
      </c>
    </row>
    <row r="58" spans="2:5" x14ac:dyDescent="0.3">
      <c r="B58" s="7">
        <v>45351</v>
      </c>
      <c r="C58" t="s">
        <v>3</v>
      </c>
      <c r="D58" t="s">
        <v>92</v>
      </c>
      <c r="E58">
        <v>1373</v>
      </c>
    </row>
    <row r="59" spans="2:5" x14ac:dyDescent="0.3">
      <c r="B59" s="7">
        <v>45351</v>
      </c>
      <c r="C59" t="s">
        <v>3</v>
      </c>
      <c r="D59" t="s">
        <v>93</v>
      </c>
      <c r="E59">
        <v>1182</v>
      </c>
    </row>
    <row r="60" spans="2:5" x14ac:dyDescent="0.3">
      <c r="B60" s="7">
        <v>45351</v>
      </c>
      <c r="C60" t="s">
        <v>3</v>
      </c>
      <c r="D60" t="s">
        <v>94</v>
      </c>
      <c r="E60">
        <v>1084</v>
      </c>
    </row>
    <row r="61" spans="2:5" x14ac:dyDescent="0.3">
      <c r="B61" s="7">
        <v>45351</v>
      </c>
      <c r="C61" t="s">
        <v>3</v>
      </c>
      <c r="D61" t="s">
        <v>95</v>
      </c>
      <c r="E61">
        <v>1379</v>
      </c>
    </row>
    <row r="62" spans="2:5" x14ac:dyDescent="0.3">
      <c r="B62" s="7">
        <v>45351</v>
      </c>
      <c r="C62" t="s">
        <v>3</v>
      </c>
      <c r="D62" t="s">
        <v>96</v>
      </c>
      <c r="E62">
        <v>788</v>
      </c>
    </row>
    <row r="63" spans="2:5" x14ac:dyDescent="0.3">
      <c r="B63" s="7">
        <v>45351</v>
      </c>
      <c r="C63" t="s">
        <v>3</v>
      </c>
      <c r="D63" t="s">
        <v>97</v>
      </c>
      <c r="E63">
        <v>788</v>
      </c>
    </row>
    <row r="64" spans="2:5" x14ac:dyDescent="0.3">
      <c r="B64" s="7">
        <v>45351</v>
      </c>
      <c r="C64" t="s">
        <v>3</v>
      </c>
      <c r="D64" t="s">
        <v>98</v>
      </c>
      <c r="E64">
        <v>591</v>
      </c>
    </row>
    <row r="65" spans="2:5" x14ac:dyDescent="0.3">
      <c r="B65" s="7">
        <v>45351</v>
      </c>
      <c r="C65" t="s">
        <v>3</v>
      </c>
      <c r="D65" t="s">
        <v>99</v>
      </c>
      <c r="E65">
        <v>690</v>
      </c>
    </row>
    <row r="66" spans="2:5" x14ac:dyDescent="0.3">
      <c r="B66" s="7">
        <v>45351</v>
      </c>
      <c r="C66" t="s">
        <v>3</v>
      </c>
      <c r="D66" t="s">
        <v>100</v>
      </c>
      <c r="E66">
        <v>591</v>
      </c>
    </row>
    <row r="67" spans="2:5" x14ac:dyDescent="0.3">
      <c r="B67" s="7">
        <v>45351</v>
      </c>
      <c r="C67" t="s">
        <v>3</v>
      </c>
      <c r="D67" t="s">
        <v>101</v>
      </c>
      <c r="E67">
        <v>492</v>
      </c>
    </row>
    <row r="68" spans="2:5" x14ac:dyDescent="0.3">
      <c r="B68" s="7">
        <v>45351</v>
      </c>
      <c r="C68" t="s">
        <v>3</v>
      </c>
      <c r="D68" t="s">
        <v>102</v>
      </c>
      <c r="E68">
        <v>492</v>
      </c>
    </row>
    <row r="69" spans="2:5" x14ac:dyDescent="0.3">
      <c r="B69" s="7">
        <v>45351</v>
      </c>
      <c r="C69" t="s">
        <v>9</v>
      </c>
      <c r="D69" t="s">
        <v>92</v>
      </c>
      <c r="E69">
        <v>2402</v>
      </c>
    </row>
    <row r="70" spans="2:5" x14ac:dyDescent="0.3">
      <c r="B70" s="7">
        <v>45351</v>
      </c>
      <c r="C70" t="s">
        <v>9</v>
      </c>
      <c r="D70" t="s">
        <v>93</v>
      </c>
      <c r="E70">
        <v>2868</v>
      </c>
    </row>
    <row r="71" spans="2:5" x14ac:dyDescent="0.3">
      <c r="B71" s="7">
        <v>45351</v>
      </c>
      <c r="C71" t="s">
        <v>9</v>
      </c>
      <c r="D71" t="s">
        <v>94</v>
      </c>
      <c r="E71">
        <v>2079</v>
      </c>
    </row>
    <row r="72" spans="2:5" x14ac:dyDescent="0.3">
      <c r="B72" s="7">
        <v>45351</v>
      </c>
      <c r="C72" t="s">
        <v>9</v>
      </c>
      <c r="D72" t="s">
        <v>95</v>
      </c>
      <c r="E72">
        <v>2646</v>
      </c>
    </row>
    <row r="73" spans="2:5" x14ac:dyDescent="0.3">
      <c r="B73" s="7">
        <v>45351</v>
      </c>
      <c r="C73" t="s">
        <v>9</v>
      </c>
      <c r="D73" t="s">
        <v>96</v>
      </c>
      <c r="E73">
        <v>1512</v>
      </c>
    </row>
    <row r="74" spans="2:5" x14ac:dyDescent="0.3">
      <c r="B74" s="7">
        <v>45351</v>
      </c>
      <c r="C74" t="s">
        <v>9</v>
      </c>
      <c r="D74" t="s">
        <v>97</v>
      </c>
      <c r="E74">
        <v>1512</v>
      </c>
    </row>
    <row r="75" spans="2:5" x14ac:dyDescent="0.3">
      <c r="B75" s="7">
        <v>45351</v>
      </c>
      <c r="C75" t="s">
        <v>9</v>
      </c>
      <c r="D75" t="s">
        <v>98</v>
      </c>
      <c r="E75">
        <v>1134</v>
      </c>
    </row>
    <row r="76" spans="2:5" x14ac:dyDescent="0.3">
      <c r="B76" s="7">
        <v>45351</v>
      </c>
      <c r="C76" t="s">
        <v>9</v>
      </c>
      <c r="D76" t="s">
        <v>99</v>
      </c>
      <c r="E76">
        <v>1323</v>
      </c>
    </row>
    <row r="77" spans="2:5" x14ac:dyDescent="0.3">
      <c r="B77" s="7">
        <v>45351</v>
      </c>
      <c r="C77" t="s">
        <v>9</v>
      </c>
      <c r="D77" t="s">
        <v>100</v>
      </c>
      <c r="E77">
        <v>1134</v>
      </c>
    </row>
    <row r="78" spans="2:5" x14ac:dyDescent="0.3">
      <c r="B78" s="7">
        <v>45351</v>
      </c>
      <c r="C78" t="s">
        <v>9</v>
      </c>
      <c r="D78" t="s">
        <v>101</v>
      </c>
      <c r="E78">
        <v>945</v>
      </c>
    </row>
    <row r="79" spans="2:5" x14ac:dyDescent="0.3">
      <c r="B79" s="7">
        <v>45351</v>
      </c>
      <c r="C79" t="s">
        <v>9</v>
      </c>
      <c r="D79" t="s">
        <v>102</v>
      </c>
      <c r="E79">
        <v>945</v>
      </c>
    </row>
    <row r="80" spans="2:5" x14ac:dyDescent="0.3">
      <c r="B80" s="7">
        <v>45351</v>
      </c>
      <c r="C80" t="s">
        <v>69</v>
      </c>
      <c r="D80" t="s">
        <v>92</v>
      </c>
      <c r="E80">
        <v>4580</v>
      </c>
    </row>
    <row r="81" spans="2:5" x14ac:dyDescent="0.3">
      <c r="B81" s="7">
        <v>45351</v>
      </c>
      <c r="C81" t="s">
        <v>69</v>
      </c>
      <c r="D81" t="s">
        <v>93</v>
      </c>
      <c r="E81">
        <v>3720</v>
      </c>
    </row>
    <row r="82" spans="2:5" x14ac:dyDescent="0.3">
      <c r="B82" s="7">
        <v>45351</v>
      </c>
      <c r="C82" t="s">
        <v>69</v>
      </c>
      <c r="D82" t="s">
        <v>94</v>
      </c>
      <c r="E82">
        <v>3410</v>
      </c>
    </row>
    <row r="83" spans="2:5" x14ac:dyDescent="0.3">
      <c r="B83" s="7">
        <v>45351</v>
      </c>
      <c r="C83" t="s">
        <v>69</v>
      </c>
      <c r="D83" t="s">
        <v>95</v>
      </c>
      <c r="E83">
        <v>3340</v>
      </c>
    </row>
    <row r="84" spans="2:5" x14ac:dyDescent="0.3">
      <c r="B84" s="7">
        <v>45351</v>
      </c>
      <c r="C84" t="s">
        <v>69</v>
      </c>
      <c r="D84" t="s">
        <v>96</v>
      </c>
      <c r="E84">
        <v>2480</v>
      </c>
    </row>
    <row r="85" spans="2:5" x14ac:dyDescent="0.3">
      <c r="B85" s="7">
        <v>45351</v>
      </c>
      <c r="C85" t="s">
        <v>69</v>
      </c>
      <c r="D85" t="s">
        <v>97</v>
      </c>
      <c r="E85">
        <v>2480</v>
      </c>
    </row>
    <row r="86" spans="2:5" x14ac:dyDescent="0.3">
      <c r="B86" s="7">
        <v>45351</v>
      </c>
      <c r="C86" t="s">
        <v>69</v>
      </c>
      <c r="D86" t="s">
        <v>98</v>
      </c>
      <c r="E86">
        <v>1860</v>
      </c>
    </row>
    <row r="87" spans="2:5" x14ac:dyDescent="0.3">
      <c r="B87" s="7">
        <v>45351</v>
      </c>
      <c r="C87" t="s">
        <v>69</v>
      </c>
      <c r="D87" t="s">
        <v>99</v>
      </c>
      <c r="E87">
        <v>2170</v>
      </c>
    </row>
    <row r="88" spans="2:5" x14ac:dyDescent="0.3">
      <c r="B88" s="7">
        <v>45351</v>
      </c>
      <c r="C88" t="s">
        <v>69</v>
      </c>
      <c r="D88" t="s">
        <v>100</v>
      </c>
      <c r="E88">
        <v>1860</v>
      </c>
    </row>
    <row r="89" spans="2:5" x14ac:dyDescent="0.3">
      <c r="B89" s="7">
        <v>45351</v>
      </c>
      <c r="C89" t="s">
        <v>69</v>
      </c>
      <c r="D89" t="s">
        <v>101</v>
      </c>
      <c r="E89">
        <v>1550</v>
      </c>
    </row>
    <row r="90" spans="2:5" x14ac:dyDescent="0.3">
      <c r="B90" s="7">
        <v>45351</v>
      </c>
      <c r="C90" t="s">
        <v>69</v>
      </c>
      <c r="D90" t="s">
        <v>102</v>
      </c>
      <c r="E90">
        <v>1550</v>
      </c>
    </row>
    <row r="91" spans="2:5" x14ac:dyDescent="0.3">
      <c r="B91" s="7">
        <v>45351</v>
      </c>
      <c r="C91" t="s">
        <v>21</v>
      </c>
      <c r="D91" t="s">
        <v>92</v>
      </c>
      <c r="E91">
        <v>630</v>
      </c>
    </row>
    <row r="92" spans="2:5" x14ac:dyDescent="0.3">
      <c r="B92" s="7">
        <v>45351</v>
      </c>
      <c r="C92" t="s">
        <v>21</v>
      </c>
      <c r="D92" t="s">
        <v>93</v>
      </c>
      <c r="E92">
        <v>420</v>
      </c>
    </row>
    <row r="93" spans="2:5" x14ac:dyDescent="0.3">
      <c r="B93" s="7">
        <v>45351</v>
      </c>
      <c r="C93" t="s">
        <v>21</v>
      </c>
      <c r="D93" t="s">
        <v>94</v>
      </c>
      <c r="E93">
        <v>385</v>
      </c>
    </row>
    <row r="94" spans="2:5" x14ac:dyDescent="0.3">
      <c r="B94" s="7">
        <v>45351</v>
      </c>
      <c r="C94" t="s">
        <v>21</v>
      </c>
      <c r="D94" t="s">
        <v>95</v>
      </c>
      <c r="E94">
        <v>390</v>
      </c>
    </row>
    <row r="95" spans="2:5" x14ac:dyDescent="0.3">
      <c r="B95" s="7">
        <v>45351</v>
      </c>
      <c r="C95" t="s">
        <v>21</v>
      </c>
      <c r="D95" t="s">
        <v>96</v>
      </c>
      <c r="E95">
        <v>280</v>
      </c>
    </row>
    <row r="96" spans="2:5" x14ac:dyDescent="0.3">
      <c r="B96" s="7">
        <v>45351</v>
      </c>
      <c r="C96" t="s">
        <v>21</v>
      </c>
      <c r="D96" t="s">
        <v>97</v>
      </c>
      <c r="E96">
        <v>280</v>
      </c>
    </row>
    <row r="97" spans="2:5" x14ac:dyDescent="0.3">
      <c r="B97" s="7">
        <v>45351</v>
      </c>
      <c r="C97" t="s">
        <v>21</v>
      </c>
      <c r="D97" t="s">
        <v>98</v>
      </c>
      <c r="E97">
        <v>210</v>
      </c>
    </row>
    <row r="98" spans="2:5" x14ac:dyDescent="0.3">
      <c r="B98" s="7">
        <v>45351</v>
      </c>
      <c r="C98" t="s">
        <v>21</v>
      </c>
      <c r="D98" t="s">
        <v>99</v>
      </c>
      <c r="E98">
        <v>245</v>
      </c>
    </row>
    <row r="99" spans="2:5" x14ac:dyDescent="0.3">
      <c r="B99" s="7">
        <v>45351</v>
      </c>
      <c r="C99" t="s">
        <v>21</v>
      </c>
      <c r="D99" t="s">
        <v>100</v>
      </c>
      <c r="E99">
        <v>210</v>
      </c>
    </row>
    <row r="100" spans="2:5" x14ac:dyDescent="0.3">
      <c r="B100" s="7">
        <v>45351</v>
      </c>
      <c r="C100" t="s">
        <v>21</v>
      </c>
      <c r="D100" t="s">
        <v>101</v>
      </c>
      <c r="E100">
        <v>175</v>
      </c>
    </row>
    <row r="101" spans="2:5" x14ac:dyDescent="0.3">
      <c r="B101" s="7">
        <v>45351</v>
      </c>
      <c r="C101" t="s">
        <v>21</v>
      </c>
      <c r="D101" t="s">
        <v>102</v>
      </c>
      <c r="E101">
        <v>175</v>
      </c>
    </row>
    <row r="102" spans="2:5" x14ac:dyDescent="0.3">
      <c r="B102" s="7">
        <v>45351</v>
      </c>
      <c r="C102" t="s">
        <v>26</v>
      </c>
      <c r="D102" t="s">
        <v>92</v>
      </c>
      <c r="E102">
        <v>2520</v>
      </c>
    </row>
    <row r="103" spans="2:5" x14ac:dyDescent="0.3">
      <c r="B103" s="7">
        <v>45351</v>
      </c>
      <c r="C103" t="s">
        <v>26</v>
      </c>
      <c r="D103" t="s">
        <v>93</v>
      </c>
      <c r="E103">
        <v>1680</v>
      </c>
    </row>
    <row r="104" spans="2:5" x14ac:dyDescent="0.3">
      <c r="B104" s="7">
        <v>45351</v>
      </c>
      <c r="C104" t="s">
        <v>26</v>
      </c>
      <c r="D104" t="s">
        <v>94</v>
      </c>
      <c r="E104">
        <v>1540</v>
      </c>
    </row>
    <row r="105" spans="2:5" x14ac:dyDescent="0.3">
      <c r="B105" s="7">
        <v>45351</v>
      </c>
      <c r="C105" t="s">
        <v>26</v>
      </c>
      <c r="D105" t="s">
        <v>95</v>
      </c>
      <c r="E105">
        <v>960</v>
      </c>
    </row>
    <row r="106" spans="2:5" x14ac:dyDescent="0.3">
      <c r="B106" s="7">
        <v>45351</v>
      </c>
      <c r="C106" t="s">
        <v>26</v>
      </c>
      <c r="D106" t="s">
        <v>96</v>
      </c>
      <c r="E106">
        <v>1120</v>
      </c>
    </row>
    <row r="107" spans="2:5" x14ac:dyDescent="0.3">
      <c r="B107" s="7">
        <v>45351</v>
      </c>
      <c r="C107" t="s">
        <v>26</v>
      </c>
      <c r="D107" t="s">
        <v>97</v>
      </c>
      <c r="E107">
        <v>1120</v>
      </c>
    </row>
    <row r="108" spans="2:5" x14ac:dyDescent="0.3">
      <c r="B108" s="7">
        <v>45351</v>
      </c>
      <c r="C108" t="s">
        <v>26</v>
      </c>
      <c r="D108" t="s">
        <v>98</v>
      </c>
      <c r="E108">
        <v>840</v>
      </c>
    </row>
    <row r="109" spans="2:5" x14ac:dyDescent="0.3">
      <c r="B109" s="7">
        <v>45351</v>
      </c>
      <c r="C109" t="s">
        <v>26</v>
      </c>
      <c r="D109" t="s">
        <v>99</v>
      </c>
      <c r="E109">
        <v>980</v>
      </c>
    </row>
    <row r="110" spans="2:5" x14ac:dyDescent="0.3">
      <c r="B110" s="7">
        <v>45351</v>
      </c>
      <c r="C110" t="s">
        <v>26</v>
      </c>
      <c r="D110" t="s">
        <v>100</v>
      </c>
      <c r="E110">
        <v>840</v>
      </c>
    </row>
    <row r="111" spans="2:5" x14ac:dyDescent="0.3">
      <c r="B111" s="7">
        <v>45351</v>
      </c>
      <c r="C111" t="s">
        <v>26</v>
      </c>
      <c r="D111" t="s">
        <v>101</v>
      </c>
      <c r="E111">
        <v>700</v>
      </c>
    </row>
    <row r="112" spans="2:5" x14ac:dyDescent="0.3">
      <c r="B112" s="7">
        <v>45351</v>
      </c>
      <c r="C112" t="s">
        <v>26</v>
      </c>
      <c r="D112" t="s">
        <v>102</v>
      </c>
      <c r="E112">
        <v>700</v>
      </c>
    </row>
    <row r="113" spans="2:5" x14ac:dyDescent="0.3">
      <c r="B113" s="7">
        <v>45382</v>
      </c>
      <c r="C113" t="s">
        <v>3</v>
      </c>
      <c r="D113" t="s">
        <v>92</v>
      </c>
      <c r="E113">
        <v>3137</v>
      </c>
    </row>
    <row r="114" spans="2:5" x14ac:dyDescent="0.3">
      <c r="B114" s="7">
        <v>45382</v>
      </c>
      <c r="C114" t="s">
        <v>3</v>
      </c>
      <c r="D114" t="s">
        <v>93</v>
      </c>
      <c r="E114">
        <v>2091</v>
      </c>
    </row>
    <row r="115" spans="2:5" x14ac:dyDescent="0.3">
      <c r="B115" s="7">
        <v>45382</v>
      </c>
      <c r="C115" t="s">
        <v>3</v>
      </c>
      <c r="D115" t="s">
        <v>94</v>
      </c>
      <c r="E115">
        <v>1917</v>
      </c>
    </row>
    <row r="116" spans="2:5" x14ac:dyDescent="0.3">
      <c r="B116" s="7">
        <v>45382</v>
      </c>
      <c r="C116" t="s">
        <v>3</v>
      </c>
      <c r="D116" t="s">
        <v>95</v>
      </c>
      <c r="E116">
        <v>1440</v>
      </c>
    </row>
    <row r="117" spans="2:5" x14ac:dyDescent="0.3">
      <c r="B117" s="7">
        <v>45382</v>
      </c>
      <c r="C117" t="s">
        <v>3</v>
      </c>
      <c r="D117" t="s">
        <v>96</v>
      </c>
      <c r="E117">
        <v>1394</v>
      </c>
    </row>
    <row r="118" spans="2:5" x14ac:dyDescent="0.3">
      <c r="B118" s="7">
        <v>45382</v>
      </c>
      <c r="C118" t="s">
        <v>3</v>
      </c>
      <c r="D118" t="s">
        <v>97</v>
      </c>
      <c r="E118">
        <v>1394</v>
      </c>
    </row>
    <row r="119" spans="2:5" x14ac:dyDescent="0.3">
      <c r="B119" s="7">
        <v>45382</v>
      </c>
      <c r="C119" t="s">
        <v>3</v>
      </c>
      <c r="D119" t="s">
        <v>98</v>
      </c>
      <c r="E119">
        <v>1046</v>
      </c>
    </row>
    <row r="120" spans="2:5" x14ac:dyDescent="0.3">
      <c r="B120" s="7">
        <v>45382</v>
      </c>
      <c r="C120" t="s">
        <v>3</v>
      </c>
      <c r="D120" t="s">
        <v>99</v>
      </c>
      <c r="E120">
        <v>1220</v>
      </c>
    </row>
    <row r="121" spans="2:5" x14ac:dyDescent="0.3">
      <c r="B121" s="7">
        <v>45382</v>
      </c>
      <c r="C121" t="s">
        <v>3</v>
      </c>
      <c r="D121" t="s">
        <v>100</v>
      </c>
      <c r="E121">
        <v>1046</v>
      </c>
    </row>
    <row r="122" spans="2:5" x14ac:dyDescent="0.3">
      <c r="B122" s="7">
        <v>45382</v>
      </c>
      <c r="C122" t="s">
        <v>3</v>
      </c>
      <c r="D122" t="s">
        <v>101</v>
      </c>
      <c r="E122">
        <v>871</v>
      </c>
    </row>
    <row r="123" spans="2:5" x14ac:dyDescent="0.3">
      <c r="B123" s="7">
        <v>45382</v>
      </c>
      <c r="C123" t="s">
        <v>3</v>
      </c>
      <c r="D123" t="s">
        <v>102</v>
      </c>
      <c r="E123">
        <v>871</v>
      </c>
    </row>
    <row r="124" spans="2:5" x14ac:dyDescent="0.3">
      <c r="B124" s="7">
        <v>45382</v>
      </c>
      <c r="C124" t="s">
        <v>9</v>
      </c>
      <c r="D124" t="s">
        <v>92</v>
      </c>
      <c r="E124">
        <v>3618</v>
      </c>
    </row>
    <row r="125" spans="2:5" x14ac:dyDescent="0.3">
      <c r="B125" s="7">
        <v>45382</v>
      </c>
      <c r="C125" t="s">
        <v>9</v>
      </c>
      <c r="D125" t="s">
        <v>93</v>
      </c>
      <c r="E125">
        <v>2612</v>
      </c>
    </row>
    <row r="126" spans="2:5" x14ac:dyDescent="0.3">
      <c r="B126" s="7">
        <v>45382</v>
      </c>
      <c r="C126" t="s">
        <v>9</v>
      </c>
      <c r="D126" t="s">
        <v>94</v>
      </c>
      <c r="E126">
        <v>2211</v>
      </c>
    </row>
    <row r="127" spans="2:5" x14ac:dyDescent="0.3">
      <c r="B127" s="7">
        <v>45382</v>
      </c>
      <c r="C127" t="s">
        <v>9</v>
      </c>
      <c r="D127" t="s">
        <v>95</v>
      </c>
      <c r="E127">
        <v>2814</v>
      </c>
    </row>
    <row r="128" spans="2:5" x14ac:dyDescent="0.3">
      <c r="B128" s="7">
        <v>45382</v>
      </c>
      <c r="C128" t="s">
        <v>9</v>
      </c>
      <c r="D128" t="s">
        <v>96</v>
      </c>
      <c r="E128">
        <v>1608</v>
      </c>
    </row>
    <row r="129" spans="2:5" x14ac:dyDescent="0.3">
      <c r="B129" s="7">
        <v>45382</v>
      </c>
      <c r="C129" t="s">
        <v>9</v>
      </c>
      <c r="D129" t="s">
        <v>97</v>
      </c>
      <c r="E129">
        <v>1608</v>
      </c>
    </row>
    <row r="130" spans="2:5" x14ac:dyDescent="0.3">
      <c r="B130" s="7">
        <v>45382</v>
      </c>
      <c r="C130" t="s">
        <v>9</v>
      </c>
      <c r="D130" t="s">
        <v>98</v>
      </c>
      <c r="E130">
        <v>1206</v>
      </c>
    </row>
    <row r="131" spans="2:5" x14ac:dyDescent="0.3">
      <c r="B131" s="7">
        <v>45382</v>
      </c>
      <c r="C131" t="s">
        <v>9</v>
      </c>
      <c r="D131" t="s">
        <v>99</v>
      </c>
      <c r="E131">
        <v>1407</v>
      </c>
    </row>
    <row r="132" spans="2:5" x14ac:dyDescent="0.3">
      <c r="B132" s="7">
        <v>45382</v>
      </c>
      <c r="C132" t="s">
        <v>9</v>
      </c>
      <c r="D132" t="s">
        <v>100</v>
      </c>
      <c r="E132">
        <v>1206</v>
      </c>
    </row>
    <row r="133" spans="2:5" x14ac:dyDescent="0.3">
      <c r="B133" s="7">
        <v>45382</v>
      </c>
      <c r="C133" t="s">
        <v>9</v>
      </c>
      <c r="D133" t="s">
        <v>101</v>
      </c>
      <c r="E133">
        <v>1005</v>
      </c>
    </row>
    <row r="134" spans="2:5" x14ac:dyDescent="0.3">
      <c r="B134" s="7">
        <v>45382</v>
      </c>
      <c r="C134" t="s">
        <v>9</v>
      </c>
      <c r="D134" t="s">
        <v>102</v>
      </c>
      <c r="E134">
        <v>1005</v>
      </c>
    </row>
    <row r="135" spans="2:5" x14ac:dyDescent="0.3">
      <c r="B135" s="7">
        <v>45382</v>
      </c>
      <c r="C135" t="s">
        <v>69</v>
      </c>
      <c r="D135" t="s">
        <v>92</v>
      </c>
      <c r="E135">
        <v>7656</v>
      </c>
    </row>
    <row r="136" spans="2:5" x14ac:dyDescent="0.3">
      <c r="B136" s="7">
        <v>45382</v>
      </c>
      <c r="C136" t="s">
        <v>69</v>
      </c>
      <c r="D136" t="s">
        <v>93</v>
      </c>
      <c r="E136">
        <v>6938</v>
      </c>
    </row>
    <row r="137" spans="2:5" x14ac:dyDescent="0.3">
      <c r="B137" s="7">
        <v>45382</v>
      </c>
      <c r="C137" t="s">
        <v>69</v>
      </c>
      <c r="D137" t="s">
        <v>94</v>
      </c>
      <c r="E137">
        <v>5901</v>
      </c>
    </row>
    <row r="138" spans="2:5" x14ac:dyDescent="0.3">
      <c r="B138" s="7">
        <v>45382</v>
      </c>
      <c r="C138" t="s">
        <v>69</v>
      </c>
      <c r="D138" t="s">
        <v>95</v>
      </c>
      <c r="E138">
        <v>5511</v>
      </c>
    </row>
    <row r="139" spans="2:5" x14ac:dyDescent="0.3">
      <c r="B139" s="7">
        <v>45382</v>
      </c>
      <c r="C139" t="s">
        <v>69</v>
      </c>
      <c r="D139" t="s">
        <v>96</v>
      </c>
      <c r="E139">
        <v>4292</v>
      </c>
    </row>
    <row r="140" spans="2:5" x14ac:dyDescent="0.3">
      <c r="B140" s="7">
        <v>45382</v>
      </c>
      <c r="C140" t="s">
        <v>69</v>
      </c>
      <c r="D140" t="s">
        <v>97</v>
      </c>
      <c r="E140">
        <v>4292</v>
      </c>
    </row>
    <row r="141" spans="2:5" x14ac:dyDescent="0.3">
      <c r="B141" s="7">
        <v>45382</v>
      </c>
      <c r="C141" t="s">
        <v>69</v>
      </c>
      <c r="D141" t="s">
        <v>98</v>
      </c>
      <c r="E141">
        <v>3219</v>
      </c>
    </row>
    <row r="142" spans="2:5" x14ac:dyDescent="0.3">
      <c r="B142" s="7">
        <v>45382</v>
      </c>
      <c r="C142" t="s">
        <v>69</v>
      </c>
      <c r="D142" t="s">
        <v>99</v>
      </c>
      <c r="E142">
        <v>3755</v>
      </c>
    </row>
    <row r="143" spans="2:5" x14ac:dyDescent="0.3">
      <c r="B143" s="7">
        <v>45382</v>
      </c>
      <c r="C143" t="s">
        <v>69</v>
      </c>
      <c r="D143" t="s">
        <v>100</v>
      </c>
      <c r="E143">
        <v>3219</v>
      </c>
    </row>
    <row r="144" spans="2:5" x14ac:dyDescent="0.3">
      <c r="B144" s="7">
        <v>45382</v>
      </c>
      <c r="C144" t="s">
        <v>69</v>
      </c>
      <c r="D144" t="s">
        <v>101</v>
      </c>
      <c r="E144">
        <v>2682</v>
      </c>
    </row>
    <row r="145" spans="2:5" x14ac:dyDescent="0.3">
      <c r="B145" s="7">
        <v>45382</v>
      </c>
      <c r="C145" t="s">
        <v>69</v>
      </c>
      <c r="D145" t="s">
        <v>102</v>
      </c>
      <c r="E145">
        <v>2682</v>
      </c>
    </row>
    <row r="146" spans="2:5" x14ac:dyDescent="0.3">
      <c r="B146" s="7">
        <v>45382</v>
      </c>
      <c r="C146" t="s">
        <v>21</v>
      </c>
      <c r="D146" t="s">
        <v>92</v>
      </c>
      <c r="E146">
        <v>735</v>
      </c>
    </row>
    <row r="147" spans="2:5" x14ac:dyDescent="0.3">
      <c r="B147" s="7">
        <v>45382</v>
      </c>
      <c r="C147" t="s">
        <v>21</v>
      </c>
      <c r="D147" t="s">
        <v>93</v>
      </c>
      <c r="E147">
        <v>1090</v>
      </c>
    </row>
    <row r="148" spans="2:5" x14ac:dyDescent="0.3">
      <c r="B148" s="7">
        <v>45382</v>
      </c>
      <c r="C148" t="s">
        <v>21</v>
      </c>
      <c r="D148" t="s">
        <v>94</v>
      </c>
      <c r="E148">
        <v>449</v>
      </c>
    </row>
    <row r="149" spans="2:5" x14ac:dyDescent="0.3">
      <c r="B149" s="7">
        <v>45382</v>
      </c>
      <c r="C149" t="s">
        <v>21</v>
      </c>
      <c r="D149" t="s">
        <v>95</v>
      </c>
      <c r="E149">
        <v>572</v>
      </c>
    </row>
    <row r="150" spans="2:5" x14ac:dyDescent="0.3">
      <c r="B150" s="7">
        <v>45382</v>
      </c>
      <c r="C150" t="s">
        <v>21</v>
      </c>
      <c r="D150" t="s">
        <v>96</v>
      </c>
      <c r="E150">
        <v>327</v>
      </c>
    </row>
    <row r="151" spans="2:5" x14ac:dyDescent="0.3">
      <c r="B151" s="7">
        <v>45382</v>
      </c>
      <c r="C151" t="s">
        <v>21</v>
      </c>
      <c r="D151" t="s">
        <v>97</v>
      </c>
      <c r="E151">
        <v>327</v>
      </c>
    </row>
    <row r="152" spans="2:5" x14ac:dyDescent="0.3">
      <c r="B152" s="7">
        <v>45382</v>
      </c>
      <c r="C152" t="s">
        <v>21</v>
      </c>
      <c r="D152" t="s">
        <v>98</v>
      </c>
      <c r="E152">
        <v>245</v>
      </c>
    </row>
    <row r="153" spans="2:5" x14ac:dyDescent="0.3">
      <c r="B153" s="7">
        <v>45382</v>
      </c>
      <c r="C153" t="s">
        <v>21</v>
      </c>
      <c r="D153" t="s">
        <v>99</v>
      </c>
      <c r="E153">
        <v>286</v>
      </c>
    </row>
    <row r="154" spans="2:5" x14ac:dyDescent="0.3">
      <c r="B154" s="7">
        <v>45382</v>
      </c>
      <c r="C154" t="s">
        <v>21</v>
      </c>
      <c r="D154" t="s">
        <v>100</v>
      </c>
      <c r="E154">
        <v>245</v>
      </c>
    </row>
    <row r="155" spans="2:5" x14ac:dyDescent="0.3">
      <c r="B155" s="7">
        <v>45382</v>
      </c>
      <c r="C155" t="s">
        <v>21</v>
      </c>
      <c r="D155" t="s">
        <v>101</v>
      </c>
      <c r="E155">
        <v>204</v>
      </c>
    </row>
    <row r="156" spans="2:5" x14ac:dyDescent="0.3">
      <c r="B156" s="7">
        <v>45382</v>
      </c>
      <c r="C156" t="s">
        <v>21</v>
      </c>
      <c r="D156" t="s">
        <v>102</v>
      </c>
      <c r="E156">
        <v>204</v>
      </c>
    </row>
    <row r="157" spans="2:5" x14ac:dyDescent="0.3">
      <c r="B157" s="7">
        <v>45382</v>
      </c>
      <c r="C157" t="s">
        <v>26</v>
      </c>
      <c r="D157" t="s">
        <v>92</v>
      </c>
      <c r="E157">
        <v>3600</v>
      </c>
    </row>
    <row r="158" spans="2:5" x14ac:dyDescent="0.3">
      <c r="B158" s="7">
        <v>45382</v>
      </c>
      <c r="C158" t="s">
        <v>26</v>
      </c>
      <c r="D158" t="s">
        <v>93</v>
      </c>
      <c r="E158">
        <v>2900</v>
      </c>
    </row>
    <row r="159" spans="2:5" x14ac:dyDescent="0.3">
      <c r="B159" s="7">
        <v>45382</v>
      </c>
      <c r="C159" t="s">
        <v>26</v>
      </c>
      <c r="D159" t="s">
        <v>94</v>
      </c>
      <c r="E159">
        <v>2200</v>
      </c>
    </row>
    <row r="160" spans="2:5" x14ac:dyDescent="0.3">
      <c r="B160" s="7">
        <v>45382</v>
      </c>
      <c r="C160" t="s">
        <v>26</v>
      </c>
      <c r="D160" t="s">
        <v>95</v>
      </c>
      <c r="E160">
        <v>2800</v>
      </c>
    </row>
    <row r="161" spans="2:5" x14ac:dyDescent="0.3">
      <c r="B161" s="7">
        <v>45382</v>
      </c>
      <c r="C161" t="s">
        <v>26</v>
      </c>
      <c r="D161" t="s">
        <v>96</v>
      </c>
      <c r="E161">
        <v>1600</v>
      </c>
    </row>
    <row r="162" spans="2:5" x14ac:dyDescent="0.3">
      <c r="B162" s="7">
        <v>45382</v>
      </c>
      <c r="C162" t="s">
        <v>26</v>
      </c>
      <c r="D162" t="s">
        <v>97</v>
      </c>
      <c r="E162">
        <v>1600</v>
      </c>
    </row>
    <row r="163" spans="2:5" x14ac:dyDescent="0.3">
      <c r="B163" s="7">
        <v>45382</v>
      </c>
      <c r="C163" t="s">
        <v>26</v>
      </c>
      <c r="D163" t="s">
        <v>98</v>
      </c>
      <c r="E163">
        <v>1200</v>
      </c>
    </row>
    <row r="164" spans="2:5" x14ac:dyDescent="0.3">
      <c r="B164" s="7">
        <v>45382</v>
      </c>
      <c r="C164" t="s">
        <v>26</v>
      </c>
      <c r="D164" t="s">
        <v>99</v>
      </c>
      <c r="E164">
        <v>1400</v>
      </c>
    </row>
    <row r="165" spans="2:5" x14ac:dyDescent="0.3">
      <c r="B165" s="7">
        <v>45382</v>
      </c>
      <c r="C165" t="s">
        <v>26</v>
      </c>
      <c r="D165" t="s">
        <v>100</v>
      </c>
      <c r="E165">
        <v>1200</v>
      </c>
    </row>
    <row r="166" spans="2:5" x14ac:dyDescent="0.3">
      <c r="B166" s="7">
        <v>45382</v>
      </c>
      <c r="C166" t="s">
        <v>26</v>
      </c>
      <c r="D166" t="s">
        <v>101</v>
      </c>
      <c r="E166">
        <v>1000</v>
      </c>
    </row>
    <row r="167" spans="2:5" x14ac:dyDescent="0.3">
      <c r="B167" s="7">
        <v>45382</v>
      </c>
      <c r="C167" t="s">
        <v>26</v>
      </c>
      <c r="D167" t="s">
        <v>102</v>
      </c>
      <c r="E167">
        <v>1000</v>
      </c>
    </row>
    <row r="168" spans="2:5" x14ac:dyDescent="0.3">
      <c r="B168" s="7">
        <v>45412</v>
      </c>
      <c r="C168" t="s">
        <v>3</v>
      </c>
      <c r="D168" t="s">
        <v>92</v>
      </c>
      <c r="E168">
        <v>1854</v>
      </c>
    </row>
    <row r="169" spans="2:5" x14ac:dyDescent="0.3">
      <c r="B169" s="7">
        <v>45412</v>
      </c>
      <c r="C169" t="s">
        <v>3</v>
      </c>
      <c r="D169" t="s">
        <v>93</v>
      </c>
      <c r="E169">
        <v>1236</v>
      </c>
    </row>
    <row r="170" spans="2:5" x14ac:dyDescent="0.3">
      <c r="B170" s="7">
        <v>45412</v>
      </c>
      <c r="C170" t="s">
        <v>3</v>
      </c>
      <c r="D170" t="s">
        <v>94</v>
      </c>
      <c r="E170">
        <v>1133</v>
      </c>
    </row>
    <row r="171" spans="2:5" x14ac:dyDescent="0.3">
      <c r="B171" s="7">
        <v>45412</v>
      </c>
      <c r="C171" t="s">
        <v>3</v>
      </c>
      <c r="D171" t="s">
        <v>95</v>
      </c>
      <c r="E171">
        <v>1442</v>
      </c>
    </row>
    <row r="172" spans="2:5" x14ac:dyDescent="0.3">
      <c r="B172" s="7">
        <v>45412</v>
      </c>
      <c r="C172" t="s">
        <v>3</v>
      </c>
      <c r="D172" t="s">
        <v>96</v>
      </c>
      <c r="E172">
        <v>1024</v>
      </c>
    </row>
    <row r="173" spans="2:5" x14ac:dyDescent="0.3">
      <c r="B173" s="7">
        <v>45412</v>
      </c>
      <c r="C173" t="s">
        <v>3</v>
      </c>
      <c r="D173" t="s">
        <v>97</v>
      </c>
      <c r="E173">
        <v>824</v>
      </c>
    </row>
    <row r="174" spans="2:5" x14ac:dyDescent="0.3">
      <c r="B174" s="7">
        <v>45412</v>
      </c>
      <c r="C174" t="s">
        <v>3</v>
      </c>
      <c r="D174" t="s">
        <v>98</v>
      </c>
      <c r="E174">
        <v>618</v>
      </c>
    </row>
    <row r="175" spans="2:5" x14ac:dyDescent="0.3">
      <c r="B175" s="7">
        <v>45412</v>
      </c>
      <c r="C175" t="s">
        <v>3</v>
      </c>
      <c r="D175" t="s">
        <v>99</v>
      </c>
      <c r="E175">
        <v>721</v>
      </c>
    </row>
    <row r="176" spans="2:5" x14ac:dyDescent="0.3">
      <c r="B176" s="7">
        <v>45412</v>
      </c>
      <c r="C176" t="s">
        <v>3</v>
      </c>
      <c r="D176" t="s">
        <v>100</v>
      </c>
      <c r="E176">
        <v>618</v>
      </c>
    </row>
    <row r="177" spans="2:5" x14ac:dyDescent="0.3">
      <c r="B177" s="7">
        <v>45412</v>
      </c>
      <c r="C177" t="s">
        <v>3</v>
      </c>
      <c r="D177" t="s">
        <v>101</v>
      </c>
      <c r="E177">
        <v>515</v>
      </c>
    </row>
    <row r="178" spans="2:5" x14ac:dyDescent="0.3">
      <c r="B178" s="7">
        <v>45412</v>
      </c>
      <c r="C178" t="s">
        <v>3</v>
      </c>
      <c r="D178" t="s">
        <v>102</v>
      </c>
      <c r="E178">
        <v>515</v>
      </c>
    </row>
    <row r="179" spans="2:5" x14ac:dyDescent="0.3">
      <c r="B179" s="7">
        <v>45412</v>
      </c>
      <c r="C179" t="s">
        <v>9</v>
      </c>
      <c r="D179" t="s">
        <v>92</v>
      </c>
      <c r="E179">
        <v>3852</v>
      </c>
    </row>
    <row r="180" spans="2:5" x14ac:dyDescent="0.3">
      <c r="B180" s="7">
        <v>45412</v>
      </c>
      <c r="C180" t="s">
        <v>9</v>
      </c>
      <c r="D180" t="s">
        <v>93</v>
      </c>
      <c r="E180">
        <v>2968</v>
      </c>
    </row>
    <row r="181" spans="2:5" x14ac:dyDescent="0.3">
      <c r="B181" s="7">
        <v>45412</v>
      </c>
      <c r="C181" t="s">
        <v>9</v>
      </c>
      <c r="D181" t="s">
        <v>94</v>
      </c>
      <c r="E181">
        <v>2354</v>
      </c>
    </row>
    <row r="182" spans="2:5" x14ac:dyDescent="0.3">
      <c r="B182" s="7">
        <v>45412</v>
      </c>
      <c r="C182" t="s">
        <v>9</v>
      </c>
      <c r="D182" t="s">
        <v>95</v>
      </c>
      <c r="E182">
        <v>2996</v>
      </c>
    </row>
    <row r="183" spans="2:5" x14ac:dyDescent="0.3">
      <c r="B183" s="7">
        <v>45412</v>
      </c>
      <c r="C183" t="s">
        <v>9</v>
      </c>
      <c r="D183" t="s">
        <v>96</v>
      </c>
      <c r="E183">
        <v>1712</v>
      </c>
    </row>
    <row r="184" spans="2:5" x14ac:dyDescent="0.3">
      <c r="B184" s="7">
        <v>45412</v>
      </c>
      <c r="C184" t="s">
        <v>9</v>
      </c>
      <c r="D184" t="s">
        <v>97</v>
      </c>
      <c r="E184">
        <v>1712</v>
      </c>
    </row>
    <row r="185" spans="2:5" x14ac:dyDescent="0.3">
      <c r="B185" s="7">
        <v>45412</v>
      </c>
      <c r="C185" t="s">
        <v>9</v>
      </c>
      <c r="D185" t="s">
        <v>98</v>
      </c>
      <c r="E185">
        <v>1284</v>
      </c>
    </row>
    <row r="186" spans="2:5" x14ac:dyDescent="0.3">
      <c r="B186" s="7">
        <v>45412</v>
      </c>
      <c r="C186" t="s">
        <v>9</v>
      </c>
      <c r="D186" t="s">
        <v>99</v>
      </c>
      <c r="E186">
        <v>1498</v>
      </c>
    </row>
    <row r="187" spans="2:5" x14ac:dyDescent="0.3">
      <c r="B187" s="7">
        <v>45412</v>
      </c>
      <c r="C187" t="s">
        <v>9</v>
      </c>
      <c r="D187" t="s">
        <v>100</v>
      </c>
      <c r="E187">
        <v>1284</v>
      </c>
    </row>
    <row r="188" spans="2:5" x14ac:dyDescent="0.3">
      <c r="B188" s="7">
        <v>45412</v>
      </c>
      <c r="C188" t="s">
        <v>9</v>
      </c>
      <c r="D188" t="s">
        <v>101</v>
      </c>
      <c r="E188">
        <v>1070</v>
      </c>
    </row>
    <row r="189" spans="2:5" x14ac:dyDescent="0.3">
      <c r="B189" s="7">
        <v>45412</v>
      </c>
      <c r="C189" t="s">
        <v>9</v>
      </c>
      <c r="D189" t="s">
        <v>102</v>
      </c>
      <c r="E189">
        <v>1070</v>
      </c>
    </row>
    <row r="190" spans="2:5" x14ac:dyDescent="0.3">
      <c r="B190" s="7">
        <v>45412</v>
      </c>
      <c r="C190" t="s">
        <v>69</v>
      </c>
      <c r="D190" t="s">
        <v>92</v>
      </c>
      <c r="E190">
        <v>6300</v>
      </c>
    </row>
    <row r="191" spans="2:5" x14ac:dyDescent="0.3">
      <c r="B191" s="7">
        <v>45412</v>
      </c>
      <c r="C191" t="s">
        <v>69</v>
      </c>
      <c r="D191" t="s">
        <v>93</v>
      </c>
      <c r="E191">
        <v>4200</v>
      </c>
    </row>
    <row r="192" spans="2:5" x14ac:dyDescent="0.3">
      <c r="B192" s="7">
        <v>45412</v>
      </c>
      <c r="C192" t="s">
        <v>69</v>
      </c>
      <c r="D192" t="s">
        <v>94</v>
      </c>
      <c r="E192">
        <v>3850</v>
      </c>
    </row>
    <row r="193" spans="2:5" x14ac:dyDescent="0.3">
      <c r="B193" s="7">
        <v>45412</v>
      </c>
      <c r="C193" t="s">
        <v>69</v>
      </c>
      <c r="D193" t="s">
        <v>95</v>
      </c>
      <c r="E193">
        <v>4900</v>
      </c>
    </row>
    <row r="194" spans="2:5" x14ac:dyDescent="0.3">
      <c r="B194" s="7">
        <v>45412</v>
      </c>
      <c r="C194" t="s">
        <v>69</v>
      </c>
      <c r="D194" t="s">
        <v>96</v>
      </c>
      <c r="E194">
        <v>2800</v>
      </c>
    </row>
    <row r="195" spans="2:5" x14ac:dyDescent="0.3">
      <c r="B195" s="7">
        <v>45412</v>
      </c>
      <c r="C195" t="s">
        <v>69</v>
      </c>
      <c r="D195" t="s">
        <v>97</v>
      </c>
      <c r="E195">
        <v>2800</v>
      </c>
    </row>
    <row r="196" spans="2:5" x14ac:dyDescent="0.3">
      <c r="B196" s="7">
        <v>45412</v>
      </c>
      <c r="C196" t="s">
        <v>69</v>
      </c>
      <c r="D196" t="s">
        <v>98</v>
      </c>
      <c r="E196">
        <v>2100</v>
      </c>
    </row>
    <row r="197" spans="2:5" x14ac:dyDescent="0.3">
      <c r="B197" s="7">
        <v>45412</v>
      </c>
      <c r="C197" t="s">
        <v>69</v>
      </c>
      <c r="D197" t="s">
        <v>99</v>
      </c>
      <c r="E197">
        <v>2450</v>
      </c>
    </row>
    <row r="198" spans="2:5" x14ac:dyDescent="0.3">
      <c r="B198" s="7">
        <v>45412</v>
      </c>
      <c r="C198" t="s">
        <v>69</v>
      </c>
      <c r="D198" t="s">
        <v>100</v>
      </c>
      <c r="E198">
        <v>2100</v>
      </c>
    </row>
    <row r="199" spans="2:5" x14ac:dyDescent="0.3">
      <c r="B199" s="7">
        <v>45412</v>
      </c>
      <c r="C199" t="s">
        <v>69</v>
      </c>
      <c r="D199" t="s">
        <v>101</v>
      </c>
      <c r="E199">
        <v>1750</v>
      </c>
    </row>
    <row r="200" spans="2:5" x14ac:dyDescent="0.3">
      <c r="B200" s="7">
        <v>45412</v>
      </c>
      <c r="C200" t="s">
        <v>69</v>
      </c>
      <c r="D200" t="s">
        <v>102</v>
      </c>
      <c r="E200">
        <v>1750</v>
      </c>
    </row>
    <row r="201" spans="2:5" x14ac:dyDescent="0.3">
      <c r="B201" s="7">
        <v>45412</v>
      </c>
      <c r="C201" t="s">
        <v>21</v>
      </c>
      <c r="D201" t="s">
        <v>92</v>
      </c>
      <c r="E201">
        <v>702</v>
      </c>
    </row>
    <row r="202" spans="2:5" x14ac:dyDescent="0.3">
      <c r="B202" s="7">
        <v>45412</v>
      </c>
      <c r="C202" t="s">
        <v>21</v>
      </c>
      <c r="D202" t="s">
        <v>93</v>
      </c>
      <c r="E202">
        <v>768</v>
      </c>
    </row>
    <row r="203" spans="2:5" x14ac:dyDescent="0.3">
      <c r="B203" s="7">
        <v>45412</v>
      </c>
      <c r="C203" t="s">
        <v>21</v>
      </c>
      <c r="D203" t="s">
        <v>94</v>
      </c>
      <c r="E203">
        <v>429</v>
      </c>
    </row>
    <row r="204" spans="2:5" x14ac:dyDescent="0.3">
      <c r="B204" s="7">
        <v>45412</v>
      </c>
      <c r="C204" t="s">
        <v>21</v>
      </c>
      <c r="D204" t="s">
        <v>95</v>
      </c>
      <c r="E204">
        <v>546</v>
      </c>
    </row>
    <row r="205" spans="2:5" x14ac:dyDescent="0.3">
      <c r="B205" s="7">
        <v>45412</v>
      </c>
      <c r="C205" t="s">
        <v>21</v>
      </c>
      <c r="D205" t="s">
        <v>96</v>
      </c>
      <c r="E205">
        <v>312</v>
      </c>
    </row>
    <row r="206" spans="2:5" x14ac:dyDescent="0.3">
      <c r="B206" s="7">
        <v>45412</v>
      </c>
      <c r="C206" t="s">
        <v>21</v>
      </c>
      <c r="D206" t="s">
        <v>97</v>
      </c>
      <c r="E206">
        <v>312</v>
      </c>
    </row>
    <row r="207" spans="2:5" x14ac:dyDescent="0.3">
      <c r="B207" s="7">
        <v>45412</v>
      </c>
      <c r="C207" t="s">
        <v>21</v>
      </c>
      <c r="D207" t="s">
        <v>98</v>
      </c>
      <c r="E207">
        <v>234</v>
      </c>
    </row>
    <row r="208" spans="2:5" x14ac:dyDescent="0.3">
      <c r="B208" s="7">
        <v>45412</v>
      </c>
      <c r="C208" t="s">
        <v>21</v>
      </c>
      <c r="D208" t="s">
        <v>99</v>
      </c>
      <c r="E208">
        <v>273</v>
      </c>
    </row>
    <row r="209" spans="2:5" x14ac:dyDescent="0.3">
      <c r="B209" s="7">
        <v>45412</v>
      </c>
      <c r="C209" t="s">
        <v>21</v>
      </c>
      <c r="D209" t="s">
        <v>100</v>
      </c>
      <c r="E209">
        <v>234</v>
      </c>
    </row>
    <row r="210" spans="2:5" x14ac:dyDescent="0.3">
      <c r="B210" s="7">
        <v>45412</v>
      </c>
      <c r="C210" t="s">
        <v>21</v>
      </c>
      <c r="D210" t="s">
        <v>101</v>
      </c>
      <c r="E210">
        <v>195</v>
      </c>
    </row>
    <row r="211" spans="2:5" x14ac:dyDescent="0.3">
      <c r="B211" s="7">
        <v>45412</v>
      </c>
      <c r="C211" t="s">
        <v>21</v>
      </c>
      <c r="D211" t="s">
        <v>102</v>
      </c>
      <c r="E211">
        <v>195</v>
      </c>
    </row>
    <row r="212" spans="2:5" x14ac:dyDescent="0.3">
      <c r="B212" s="7">
        <v>45412</v>
      </c>
      <c r="C212" t="s">
        <v>26</v>
      </c>
      <c r="D212" t="s">
        <v>92</v>
      </c>
      <c r="E212">
        <v>3960</v>
      </c>
    </row>
    <row r="213" spans="2:5" x14ac:dyDescent="0.3">
      <c r="B213" s="7">
        <v>45412</v>
      </c>
      <c r="C213" t="s">
        <v>26</v>
      </c>
      <c r="D213" t="s">
        <v>93</v>
      </c>
      <c r="E213">
        <v>2640</v>
      </c>
    </row>
    <row r="214" spans="2:5" x14ac:dyDescent="0.3">
      <c r="B214" s="7">
        <v>45412</v>
      </c>
      <c r="C214" t="s">
        <v>26</v>
      </c>
      <c r="D214" t="s">
        <v>94</v>
      </c>
      <c r="E214">
        <v>2420</v>
      </c>
    </row>
    <row r="215" spans="2:5" x14ac:dyDescent="0.3">
      <c r="B215" s="7">
        <v>45412</v>
      </c>
      <c r="C215" t="s">
        <v>26</v>
      </c>
      <c r="D215" t="s">
        <v>95</v>
      </c>
      <c r="E215">
        <v>3080</v>
      </c>
    </row>
    <row r="216" spans="2:5" x14ac:dyDescent="0.3">
      <c r="B216" s="7">
        <v>45412</v>
      </c>
      <c r="C216" t="s">
        <v>26</v>
      </c>
      <c r="D216" t="s">
        <v>96</v>
      </c>
      <c r="E216">
        <v>1760</v>
      </c>
    </row>
    <row r="217" spans="2:5" x14ac:dyDescent="0.3">
      <c r="B217" s="7">
        <v>45412</v>
      </c>
      <c r="C217" t="s">
        <v>26</v>
      </c>
      <c r="D217" t="s">
        <v>97</v>
      </c>
      <c r="E217">
        <v>1760</v>
      </c>
    </row>
    <row r="218" spans="2:5" x14ac:dyDescent="0.3">
      <c r="B218" s="7">
        <v>45412</v>
      </c>
      <c r="C218" t="s">
        <v>26</v>
      </c>
      <c r="D218" t="s">
        <v>98</v>
      </c>
      <c r="E218">
        <v>1320</v>
      </c>
    </row>
    <row r="219" spans="2:5" x14ac:dyDescent="0.3">
      <c r="B219" s="7">
        <v>45412</v>
      </c>
      <c r="C219" t="s">
        <v>26</v>
      </c>
      <c r="D219" t="s">
        <v>99</v>
      </c>
      <c r="E219">
        <v>1540</v>
      </c>
    </row>
    <row r="220" spans="2:5" x14ac:dyDescent="0.3">
      <c r="B220" s="7">
        <v>45412</v>
      </c>
      <c r="C220" t="s">
        <v>26</v>
      </c>
      <c r="D220" t="s">
        <v>100</v>
      </c>
      <c r="E220">
        <v>1320</v>
      </c>
    </row>
    <row r="221" spans="2:5" x14ac:dyDescent="0.3">
      <c r="B221" s="7">
        <v>45412</v>
      </c>
      <c r="C221" t="s">
        <v>26</v>
      </c>
      <c r="D221" t="s">
        <v>101</v>
      </c>
      <c r="E221">
        <v>1100</v>
      </c>
    </row>
    <row r="222" spans="2:5" x14ac:dyDescent="0.3">
      <c r="B222" s="7">
        <v>45412</v>
      </c>
      <c r="C222" t="s">
        <v>26</v>
      </c>
      <c r="D222" t="s">
        <v>102</v>
      </c>
      <c r="E222">
        <v>1100</v>
      </c>
    </row>
    <row r="223" spans="2:5" x14ac:dyDescent="0.3">
      <c r="B223" s="7">
        <v>45443</v>
      </c>
      <c r="C223" t="s">
        <v>3</v>
      </c>
      <c r="D223" t="s">
        <v>92</v>
      </c>
      <c r="E223">
        <v>2016</v>
      </c>
    </row>
    <row r="224" spans="2:5" x14ac:dyDescent="0.3">
      <c r="B224" s="7">
        <v>45443</v>
      </c>
      <c r="C224" t="s">
        <v>3</v>
      </c>
      <c r="D224" t="s">
        <v>93</v>
      </c>
      <c r="E224">
        <v>1344</v>
      </c>
    </row>
    <row r="225" spans="2:5" x14ac:dyDescent="0.3">
      <c r="B225" s="7">
        <v>45443</v>
      </c>
      <c r="C225" t="s">
        <v>3</v>
      </c>
      <c r="D225" t="s">
        <v>94</v>
      </c>
      <c r="E225">
        <v>1232</v>
      </c>
    </row>
    <row r="226" spans="2:5" x14ac:dyDescent="0.3">
      <c r="B226" s="7">
        <v>45443</v>
      </c>
      <c r="C226" t="s">
        <v>3</v>
      </c>
      <c r="D226" t="s">
        <v>95</v>
      </c>
      <c r="E226">
        <v>1568</v>
      </c>
    </row>
    <row r="227" spans="2:5" x14ac:dyDescent="0.3">
      <c r="B227" s="7">
        <v>45443</v>
      </c>
      <c r="C227" t="s">
        <v>3</v>
      </c>
      <c r="D227" t="s">
        <v>96</v>
      </c>
      <c r="E227">
        <v>896</v>
      </c>
    </row>
    <row r="228" spans="2:5" x14ac:dyDescent="0.3">
      <c r="B228" s="7">
        <v>45443</v>
      </c>
      <c r="C228" t="s">
        <v>3</v>
      </c>
      <c r="D228" t="s">
        <v>97</v>
      </c>
      <c r="E228">
        <v>896</v>
      </c>
    </row>
    <row r="229" spans="2:5" x14ac:dyDescent="0.3">
      <c r="B229" s="7">
        <v>45443</v>
      </c>
      <c r="C229" t="s">
        <v>3</v>
      </c>
      <c r="D229" t="s">
        <v>98</v>
      </c>
      <c r="E229">
        <v>672</v>
      </c>
    </row>
    <row r="230" spans="2:5" x14ac:dyDescent="0.3">
      <c r="B230" s="7">
        <v>45443</v>
      </c>
      <c r="C230" t="s">
        <v>3</v>
      </c>
      <c r="D230" t="s">
        <v>99</v>
      </c>
      <c r="E230">
        <v>784</v>
      </c>
    </row>
    <row r="231" spans="2:5" x14ac:dyDescent="0.3">
      <c r="B231" s="7">
        <v>45443</v>
      </c>
      <c r="C231" t="s">
        <v>3</v>
      </c>
      <c r="D231" t="s">
        <v>100</v>
      </c>
      <c r="E231">
        <v>672</v>
      </c>
    </row>
    <row r="232" spans="2:5" x14ac:dyDescent="0.3">
      <c r="B232" s="7">
        <v>45443</v>
      </c>
      <c r="C232" t="s">
        <v>3</v>
      </c>
      <c r="D232" t="s">
        <v>101</v>
      </c>
      <c r="E232">
        <v>560</v>
      </c>
    </row>
    <row r="233" spans="2:5" x14ac:dyDescent="0.3">
      <c r="B233" s="7">
        <v>45443</v>
      </c>
      <c r="C233" t="s">
        <v>3</v>
      </c>
      <c r="D233" t="s">
        <v>102</v>
      </c>
      <c r="E233">
        <v>560</v>
      </c>
    </row>
    <row r="234" spans="2:5" x14ac:dyDescent="0.3">
      <c r="B234" s="7">
        <v>45443</v>
      </c>
      <c r="C234" t="s">
        <v>9</v>
      </c>
      <c r="D234" t="s">
        <v>92</v>
      </c>
      <c r="E234">
        <v>4068</v>
      </c>
    </row>
    <row r="235" spans="2:5" x14ac:dyDescent="0.3">
      <c r="B235" s="7">
        <v>45443</v>
      </c>
      <c r="C235" t="s">
        <v>9</v>
      </c>
      <c r="D235" t="s">
        <v>93</v>
      </c>
      <c r="E235">
        <v>2712</v>
      </c>
    </row>
    <row r="236" spans="2:5" x14ac:dyDescent="0.3">
      <c r="B236" s="7">
        <v>45443</v>
      </c>
      <c r="C236" t="s">
        <v>9</v>
      </c>
      <c r="D236" t="s">
        <v>94</v>
      </c>
      <c r="E236">
        <v>2486</v>
      </c>
    </row>
    <row r="237" spans="2:5" x14ac:dyDescent="0.3">
      <c r="B237" s="7">
        <v>45443</v>
      </c>
      <c r="C237" t="s">
        <v>9</v>
      </c>
      <c r="D237" t="s">
        <v>95</v>
      </c>
      <c r="E237">
        <v>3164</v>
      </c>
    </row>
    <row r="238" spans="2:5" x14ac:dyDescent="0.3">
      <c r="B238" s="7">
        <v>45443</v>
      </c>
      <c r="C238" t="s">
        <v>9</v>
      </c>
      <c r="D238" t="s">
        <v>96</v>
      </c>
      <c r="E238">
        <v>1808</v>
      </c>
    </row>
    <row r="239" spans="2:5" x14ac:dyDescent="0.3">
      <c r="B239" s="7">
        <v>45443</v>
      </c>
      <c r="C239" t="s">
        <v>9</v>
      </c>
      <c r="D239" t="s">
        <v>97</v>
      </c>
      <c r="E239">
        <v>1808</v>
      </c>
    </row>
    <row r="240" spans="2:5" x14ac:dyDescent="0.3">
      <c r="B240" s="7">
        <v>45443</v>
      </c>
      <c r="C240" t="s">
        <v>9</v>
      </c>
      <c r="D240" t="s">
        <v>98</v>
      </c>
      <c r="E240">
        <v>1356</v>
      </c>
    </row>
    <row r="241" spans="2:5" x14ac:dyDescent="0.3">
      <c r="B241" s="7">
        <v>45443</v>
      </c>
      <c r="C241" t="s">
        <v>9</v>
      </c>
      <c r="D241" t="s">
        <v>99</v>
      </c>
      <c r="E241">
        <v>1582</v>
      </c>
    </row>
    <row r="242" spans="2:5" x14ac:dyDescent="0.3">
      <c r="B242" s="7">
        <v>45443</v>
      </c>
      <c r="C242" t="s">
        <v>9</v>
      </c>
      <c r="D242" t="s">
        <v>100</v>
      </c>
      <c r="E242">
        <v>1356</v>
      </c>
    </row>
    <row r="243" spans="2:5" x14ac:dyDescent="0.3">
      <c r="B243" s="7">
        <v>45443</v>
      </c>
      <c r="C243" t="s">
        <v>9</v>
      </c>
      <c r="D243" t="s">
        <v>101</v>
      </c>
      <c r="E243">
        <v>1130</v>
      </c>
    </row>
    <row r="244" spans="2:5" x14ac:dyDescent="0.3">
      <c r="B244" s="7">
        <v>45443</v>
      </c>
      <c r="C244" t="s">
        <v>9</v>
      </c>
      <c r="D244" t="s">
        <v>102</v>
      </c>
      <c r="E244">
        <v>1130</v>
      </c>
    </row>
    <row r="245" spans="2:5" x14ac:dyDescent="0.3">
      <c r="B245" s="7">
        <v>45443</v>
      </c>
      <c r="C245" t="s">
        <v>69</v>
      </c>
      <c r="D245" t="s">
        <v>92</v>
      </c>
      <c r="E245">
        <v>6660</v>
      </c>
    </row>
    <row r="246" spans="2:5" x14ac:dyDescent="0.3">
      <c r="B246" s="7">
        <v>45443</v>
      </c>
      <c r="C246" t="s">
        <v>69</v>
      </c>
      <c r="D246" t="s">
        <v>93</v>
      </c>
      <c r="E246">
        <v>6440</v>
      </c>
    </row>
    <row r="247" spans="2:5" x14ac:dyDescent="0.3">
      <c r="B247" s="7">
        <v>45443</v>
      </c>
      <c r="C247" t="s">
        <v>69</v>
      </c>
      <c r="D247" t="s">
        <v>94</v>
      </c>
      <c r="E247">
        <v>4070</v>
      </c>
    </row>
    <row r="248" spans="2:5" x14ac:dyDescent="0.3">
      <c r="B248" s="7">
        <v>45443</v>
      </c>
      <c r="C248" t="s">
        <v>69</v>
      </c>
      <c r="D248" t="s">
        <v>95</v>
      </c>
      <c r="E248">
        <v>5180</v>
      </c>
    </row>
    <row r="249" spans="2:5" x14ac:dyDescent="0.3">
      <c r="B249" s="7">
        <v>45443</v>
      </c>
      <c r="C249" t="s">
        <v>69</v>
      </c>
      <c r="D249" t="s">
        <v>96</v>
      </c>
      <c r="E249">
        <v>2960</v>
      </c>
    </row>
    <row r="250" spans="2:5" x14ac:dyDescent="0.3">
      <c r="B250" s="7">
        <v>45443</v>
      </c>
      <c r="C250" t="s">
        <v>69</v>
      </c>
      <c r="D250" t="s">
        <v>97</v>
      </c>
      <c r="E250">
        <v>2960</v>
      </c>
    </row>
    <row r="251" spans="2:5" x14ac:dyDescent="0.3">
      <c r="B251" s="7">
        <v>45443</v>
      </c>
      <c r="C251" t="s">
        <v>69</v>
      </c>
      <c r="D251" t="s">
        <v>98</v>
      </c>
      <c r="E251">
        <v>2220</v>
      </c>
    </row>
    <row r="252" spans="2:5" x14ac:dyDescent="0.3">
      <c r="B252" s="7">
        <v>45443</v>
      </c>
      <c r="C252" t="s">
        <v>69</v>
      </c>
      <c r="D252" t="s">
        <v>99</v>
      </c>
      <c r="E252">
        <v>2590</v>
      </c>
    </row>
    <row r="253" spans="2:5" x14ac:dyDescent="0.3">
      <c r="B253" s="7">
        <v>45443</v>
      </c>
      <c r="C253" t="s">
        <v>69</v>
      </c>
      <c r="D253" t="s">
        <v>100</v>
      </c>
      <c r="E253">
        <v>2220</v>
      </c>
    </row>
    <row r="254" spans="2:5" x14ac:dyDescent="0.3">
      <c r="B254" s="7">
        <v>45443</v>
      </c>
      <c r="C254" t="s">
        <v>69</v>
      </c>
      <c r="D254" t="s">
        <v>101</v>
      </c>
      <c r="E254">
        <v>1850</v>
      </c>
    </row>
    <row r="255" spans="2:5" x14ac:dyDescent="0.3">
      <c r="B255" s="7">
        <v>45443</v>
      </c>
      <c r="C255" t="s">
        <v>69</v>
      </c>
      <c r="D255" t="s">
        <v>102</v>
      </c>
      <c r="E255">
        <v>1850</v>
      </c>
    </row>
    <row r="256" spans="2:5" x14ac:dyDescent="0.3">
      <c r="B256" s="7">
        <v>45443</v>
      </c>
      <c r="C256" t="s">
        <v>21</v>
      </c>
      <c r="D256" t="s">
        <v>92</v>
      </c>
      <c r="E256">
        <v>774</v>
      </c>
    </row>
    <row r="257" spans="2:5" x14ac:dyDescent="0.3">
      <c r="B257" s="7">
        <v>45443</v>
      </c>
      <c r="C257" t="s">
        <v>21</v>
      </c>
      <c r="D257" t="s">
        <v>93</v>
      </c>
      <c r="E257">
        <v>516</v>
      </c>
    </row>
    <row r="258" spans="2:5" x14ac:dyDescent="0.3">
      <c r="B258" s="7">
        <v>45443</v>
      </c>
      <c r="C258" t="s">
        <v>21</v>
      </c>
      <c r="D258" t="s">
        <v>94</v>
      </c>
      <c r="E258">
        <v>473</v>
      </c>
    </row>
    <row r="259" spans="2:5" x14ac:dyDescent="0.3">
      <c r="B259" s="7">
        <v>45443</v>
      </c>
      <c r="C259" t="s">
        <v>21</v>
      </c>
      <c r="D259" t="s">
        <v>95</v>
      </c>
      <c r="E259">
        <v>602</v>
      </c>
    </row>
    <row r="260" spans="2:5" x14ac:dyDescent="0.3">
      <c r="B260" s="7">
        <v>45443</v>
      </c>
      <c r="C260" t="s">
        <v>21</v>
      </c>
      <c r="D260" t="s">
        <v>96</v>
      </c>
      <c r="E260">
        <v>344</v>
      </c>
    </row>
    <row r="261" spans="2:5" x14ac:dyDescent="0.3">
      <c r="B261" s="7">
        <v>45443</v>
      </c>
      <c r="C261" t="s">
        <v>21</v>
      </c>
      <c r="D261" t="s">
        <v>97</v>
      </c>
      <c r="E261">
        <v>344</v>
      </c>
    </row>
    <row r="262" spans="2:5" x14ac:dyDescent="0.3">
      <c r="B262" s="7">
        <v>45443</v>
      </c>
      <c r="C262" t="s">
        <v>21</v>
      </c>
      <c r="D262" t="s">
        <v>98</v>
      </c>
      <c r="E262">
        <v>258</v>
      </c>
    </row>
    <row r="263" spans="2:5" x14ac:dyDescent="0.3">
      <c r="B263" s="7">
        <v>45443</v>
      </c>
      <c r="C263" t="s">
        <v>21</v>
      </c>
      <c r="D263" t="s">
        <v>99</v>
      </c>
      <c r="E263">
        <v>301</v>
      </c>
    </row>
    <row r="264" spans="2:5" x14ac:dyDescent="0.3">
      <c r="B264" s="7">
        <v>45443</v>
      </c>
      <c r="C264" t="s">
        <v>21</v>
      </c>
      <c r="D264" t="s">
        <v>100</v>
      </c>
      <c r="E264">
        <v>258</v>
      </c>
    </row>
    <row r="265" spans="2:5" x14ac:dyDescent="0.3">
      <c r="B265" s="7">
        <v>45443</v>
      </c>
      <c r="C265" t="s">
        <v>21</v>
      </c>
      <c r="D265" t="s">
        <v>101</v>
      </c>
      <c r="E265">
        <v>215</v>
      </c>
    </row>
    <row r="266" spans="2:5" x14ac:dyDescent="0.3">
      <c r="B266" s="7">
        <v>45443</v>
      </c>
      <c r="C266" t="s">
        <v>21</v>
      </c>
      <c r="D266" t="s">
        <v>102</v>
      </c>
      <c r="E266">
        <v>215</v>
      </c>
    </row>
    <row r="267" spans="2:5" x14ac:dyDescent="0.3">
      <c r="B267" s="7">
        <v>45443</v>
      </c>
      <c r="C267" t="s">
        <v>26</v>
      </c>
      <c r="D267" t="s">
        <v>92</v>
      </c>
      <c r="E267">
        <v>4320</v>
      </c>
    </row>
    <row r="268" spans="2:5" x14ac:dyDescent="0.3">
      <c r="B268" s="7">
        <v>45443</v>
      </c>
      <c r="C268" t="s">
        <v>26</v>
      </c>
      <c r="D268" t="s">
        <v>93</v>
      </c>
      <c r="E268">
        <v>2880</v>
      </c>
    </row>
    <row r="269" spans="2:5" x14ac:dyDescent="0.3">
      <c r="B269" s="7">
        <v>45443</v>
      </c>
      <c r="C269" t="s">
        <v>26</v>
      </c>
      <c r="D269" t="s">
        <v>94</v>
      </c>
      <c r="E269">
        <v>2640</v>
      </c>
    </row>
    <row r="270" spans="2:5" x14ac:dyDescent="0.3">
      <c r="B270" s="7">
        <v>45443</v>
      </c>
      <c r="C270" t="s">
        <v>26</v>
      </c>
      <c r="D270" t="s">
        <v>95</v>
      </c>
      <c r="E270">
        <v>3360</v>
      </c>
    </row>
    <row r="271" spans="2:5" x14ac:dyDescent="0.3">
      <c r="B271" s="7">
        <v>45443</v>
      </c>
      <c r="C271" t="s">
        <v>26</v>
      </c>
      <c r="D271" t="s">
        <v>96</v>
      </c>
      <c r="E271">
        <v>1920</v>
      </c>
    </row>
    <row r="272" spans="2:5" x14ac:dyDescent="0.3">
      <c r="B272" s="7">
        <v>45443</v>
      </c>
      <c r="C272" t="s">
        <v>26</v>
      </c>
      <c r="D272" t="s">
        <v>97</v>
      </c>
      <c r="E272">
        <v>1920</v>
      </c>
    </row>
    <row r="273" spans="2:5" x14ac:dyDescent="0.3">
      <c r="B273" s="7">
        <v>45443</v>
      </c>
      <c r="C273" t="s">
        <v>26</v>
      </c>
      <c r="D273" t="s">
        <v>98</v>
      </c>
      <c r="E273">
        <v>1440</v>
      </c>
    </row>
    <row r="274" spans="2:5" x14ac:dyDescent="0.3">
      <c r="B274" s="7">
        <v>45443</v>
      </c>
      <c r="C274" t="s">
        <v>26</v>
      </c>
      <c r="D274" t="s">
        <v>99</v>
      </c>
      <c r="E274">
        <v>1680</v>
      </c>
    </row>
    <row r="275" spans="2:5" x14ac:dyDescent="0.3">
      <c r="B275" s="7">
        <v>45443</v>
      </c>
      <c r="C275" t="s">
        <v>26</v>
      </c>
      <c r="D275" t="s">
        <v>100</v>
      </c>
      <c r="E275">
        <v>1440</v>
      </c>
    </row>
    <row r="276" spans="2:5" x14ac:dyDescent="0.3">
      <c r="B276" s="7">
        <v>45443</v>
      </c>
      <c r="C276" t="s">
        <v>26</v>
      </c>
      <c r="D276" t="s">
        <v>101</v>
      </c>
      <c r="E276">
        <v>1200</v>
      </c>
    </row>
    <row r="277" spans="2:5" x14ac:dyDescent="0.3">
      <c r="B277" s="7">
        <v>45443</v>
      </c>
      <c r="C277" t="s">
        <v>26</v>
      </c>
      <c r="D277" t="s">
        <v>102</v>
      </c>
      <c r="E277">
        <v>1200</v>
      </c>
    </row>
    <row r="278" spans="2:5" x14ac:dyDescent="0.3">
      <c r="B278" s="7">
        <v>45473</v>
      </c>
      <c r="C278" t="s">
        <v>3</v>
      </c>
      <c r="D278" t="s">
        <v>92</v>
      </c>
      <c r="E278">
        <v>1971</v>
      </c>
    </row>
    <row r="279" spans="2:5" x14ac:dyDescent="0.3">
      <c r="B279" s="7">
        <v>45473</v>
      </c>
      <c r="C279" t="s">
        <v>3</v>
      </c>
      <c r="D279" t="s">
        <v>93</v>
      </c>
      <c r="E279">
        <v>1314</v>
      </c>
    </row>
    <row r="280" spans="2:5" x14ac:dyDescent="0.3">
      <c r="B280" s="7">
        <v>45473</v>
      </c>
      <c r="C280" t="s">
        <v>3</v>
      </c>
      <c r="D280" t="s">
        <v>94</v>
      </c>
      <c r="E280">
        <v>1204</v>
      </c>
    </row>
    <row r="281" spans="2:5" x14ac:dyDescent="0.3">
      <c r="B281" s="7">
        <v>45473</v>
      </c>
      <c r="C281" t="s">
        <v>3</v>
      </c>
      <c r="D281" t="s">
        <v>95</v>
      </c>
      <c r="E281">
        <v>1533</v>
      </c>
    </row>
    <row r="282" spans="2:5" x14ac:dyDescent="0.3">
      <c r="B282" s="7">
        <v>45473</v>
      </c>
      <c r="C282" t="s">
        <v>3</v>
      </c>
      <c r="D282" t="s">
        <v>96</v>
      </c>
      <c r="E282">
        <v>876</v>
      </c>
    </row>
    <row r="283" spans="2:5" x14ac:dyDescent="0.3">
      <c r="B283" s="7">
        <v>45473</v>
      </c>
      <c r="C283" t="s">
        <v>3</v>
      </c>
      <c r="D283" t="s">
        <v>97</v>
      </c>
      <c r="E283">
        <v>876</v>
      </c>
    </row>
    <row r="284" spans="2:5" x14ac:dyDescent="0.3">
      <c r="B284" s="7">
        <v>45473</v>
      </c>
      <c r="C284" t="s">
        <v>3</v>
      </c>
      <c r="D284" t="s">
        <v>98</v>
      </c>
      <c r="E284">
        <v>657</v>
      </c>
    </row>
    <row r="285" spans="2:5" x14ac:dyDescent="0.3">
      <c r="B285" s="7">
        <v>45473</v>
      </c>
      <c r="C285" t="s">
        <v>3</v>
      </c>
      <c r="D285" t="s">
        <v>99</v>
      </c>
      <c r="E285">
        <v>767</v>
      </c>
    </row>
    <row r="286" spans="2:5" x14ac:dyDescent="0.3">
      <c r="B286" s="7">
        <v>45473</v>
      </c>
      <c r="C286" t="s">
        <v>3</v>
      </c>
      <c r="D286" t="s">
        <v>100</v>
      </c>
      <c r="E286">
        <v>657</v>
      </c>
    </row>
    <row r="287" spans="2:5" x14ac:dyDescent="0.3">
      <c r="B287" s="7">
        <v>45473</v>
      </c>
      <c r="C287" t="s">
        <v>3</v>
      </c>
      <c r="D287" t="s">
        <v>101</v>
      </c>
      <c r="E287">
        <v>548</v>
      </c>
    </row>
    <row r="288" spans="2:5" x14ac:dyDescent="0.3">
      <c r="B288" s="7">
        <v>45473</v>
      </c>
      <c r="C288" t="s">
        <v>3</v>
      </c>
      <c r="D288" t="s">
        <v>102</v>
      </c>
      <c r="E288">
        <v>548</v>
      </c>
    </row>
    <row r="289" spans="2:5" x14ac:dyDescent="0.3">
      <c r="B289" s="7">
        <v>45473</v>
      </c>
      <c r="C289" t="s">
        <v>9</v>
      </c>
      <c r="D289" t="s">
        <v>92</v>
      </c>
      <c r="E289">
        <v>3176</v>
      </c>
    </row>
    <row r="290" spans="2:5" x14ac:dyDescent="0.3">
      <c r="B290" s="7">
        <v>45473</v>
      </c>
      <c r="C290" t="s">
        <v>9</v>
      </c>
      <c r="D290" t="s">
        <v>93</v>
      </c>
      <c r="E290">
        <v>2784</v>
      </c>
    </row>
    <row r="291" spans="2:5" x14ac:dyDescent="0.3">
      <c r="B291" s="7">
        <v>45473</v>
      </c>
      <c r="C291" t="s">
        <v>9</v>
      </c>
      <c r="D291" t="s">
        <v>94</v>
      </c>
      <c r="E291">
        <v>2552</v>
      </c>
    </row>
    <row r="292" spans="2:5" x14ac:dyDescent="0.3">
      <c r="B292" s="7">
        <v>45473</v>
      </c>
      <c r="C292" t="s">
        <v>9</v>
      </c>
      <c r="D292" t="s">
        <v>95</v>
      </c>
      <c r="E292">
        <v>3248</v>
      </c>
    </row>
    <row r="293" spans="2:5" x14ac:dyDescent="0.3">
      <c r="B293" s="7">
        <v>45473</v>
      </c>
      <c r="C293" t="s">
        <v>9</v>
      </c>
      <c r="D293" t="s">
        <v>96</v>
      </c>
      <c r="E293">
        <v>1856</v>
      </c>
    </row>
    <row r="294" spans="2:5" x14ac:dyDescent="0.3">
      <c r="B294" s="7">
        <v>45473</v>
      </c>
      <c r="C294" t="s">
        <v>9</v>
      </c>
      <c r="D294" t="s">
        <v>97</v>
      </c>
      <c r="E294">
        <v>1856</v>
      </c>
    </row>
    <row r="295" spans="2:5" x14ac:dyDescent="0.3">
      <c r="B295" s="7">
        <v>45473</v>
      </c>
      <c r="C295" t="s">
        <v>9</v>
      </c>
      <c r="D295" t="s">
        <v>98</v>
      </c>
      <c r="E295">
        <v>1392</v>
      </c>
    </row>
    <row r="296" spans="2:5" x14ac:dyDescent="0.3">
      <c r="B296" s="7">
        <v>45473</v>
      </c>
      <c r="C296" t="s">
        <v>9</v>
      </c>
      <c r="D296" t="s">
        <v>99</v>
      </c>
      <c r="E296">
        <v>1624</v>
      </c>
    </row>
    <row r="297" spans="2:5" x14ac:dyDescent="0.3">
      <c r="B297" s="7">
        <v>45473</v>
      </c>
      <c r="C297" t="s">
        <v>9</v>
      </c>
      <c r="D297" t="s">
        <v>100</v>
      </c>
      <c r="E297">
        <v>1392</v>
      </c>
    </row>
    <row r="298" spans="2:5" x14ac:dyDescent="0.3">
      <c r="B298" s="7">
        <v>45473</v>
      </c>
      <c r="C298" t="s">
        <v>9</v>
      </c>
      <c r="D298" t="s">
        <v>101</v>
      </c>
      <c r="E298">
        <v>1160</v>
      </c>
    </row>
    <row r="299" spans="2:5" x14ac:dyDescent="0.3">
      <c r="B299" s="7">
        <v>45473</v>
      </c>
      <c r="C299" t="s">
        <v>9</v>
      </c>
      <c r="D299" t="s">
        <v>102</v>
      </c>
      <c r="E299">
        <v>1160</v>
      </c>
    </row>
    <row r="300" spans="2:5" x14ac:dyDescent="0.3">
      <c r="B300" s="7">
        <v>45473</v>
      </c>
      <c r="C300" t="s">
        <v>69</v>
      </c>
      <c r="D300" t="s">
        <v>92</v>
      </c>
      <c r="E300">
        <v>6840</v>
      </c>
    </row>
    <row r="301" spans="2:5" x14ac:dyDescent="0.3">
      <c r="B301" s="7">
        <v>45473</v>
      </c>
      <c r="C301" t="s">
        <v>69</v>
      </c>
      <c r="D301" t="s">
        <v>93</v>
      </c>
      <c r="E301">
        <v>4560</v>
      </c>
    </row>
    <row r="302" spans="2:5" x14ac:dyDescent="0.3">
      <c r="B302" s="7">
        <v>45473</v>
      </c>
      <c r="C302" t="s">
        <v>69</v>
      </c>
      <c r="D302" t="s">
        <v>94</v>
      </c>
      <c r="E302">
        <v>4180</v>
      </c>
    </row>
    <row r="303" spans="2:5" x14ac:dyDescent="0.3">
      <c r="B303" s="7">
        <v>45473</v>
      </c>
      <c r="C303" t="s">
        <v>69</v>
      </c>
      <c r="D303" t="s">
        <v>95</v>
      </c>
      <c r="E303">
        <v>5320</v>
      </c>
    </row>
    <row r="304" spans="2:5" x14ac:dyDescent="0.3">
      <c r="B304" s="7">
        <v>45473</v>
      </c>
      <c r="C304" t="s">
        <v>69</v>
      </c>
      <c r="D304" t="s">
        <v>96</v>
      </c>
      <c r="E304">
        <v>3040</v>
      </c>
    </row>
    <row r="305" spans="2:5" x14ac:dyDescent="0.3">
      <c r="B305" s="7">
        <v>45473</v>
      </c>
      <c r="C305" t="s">
        <v>69</v>
      </c>
      <c r="D305" t="s">
        <v>97</v>
      </c>
      <c r="E305">
        <v>3040</v>
      </c>
    </row>
    <row r="306" spans="2:5" x14ac:dyDescent="0.3">
      <c r="B306" s="7">
        <v>45473</v>
      </c>
      <c r="C306" t="s">
        <v>69</v>
      </c>
      <c r="D306" t="s">
        <v>98</v>
      </c>
      <c r="E306">
        <v>2280</v>
      </c>
    </row>
    <row r="307" spans="2:5" x14ac:dyDescent="0.3">
      <c r="B307" s="7">
        <v>45473</v>
      </c>
      <c r="C307" t="s">
        <v>69</v>
      </c>
      <c r="D307" t="s">
        <v>99</v>
      </c>
      <c r="E307">
        <v>2660</v>
      </c>
    </row>
    <row r="308" spans="2:5" x14ac:dyDescent="0.3">
      <c r="B308" s="7">
        <v>45473</v>
      </c>
      <c r="C308" t="s">
        <v>69</v>
      </c>
      <c r="D308" t="s">
        <v>100</v>
      </c>
      <c r="E308">
        <v>2280</v>
      </c>
    </row>
    <row r="309" spans="2:5" x14ac:dyDescent="0.3">
      <c r="B309" s="7">
        <v>45473</v>
      </c>
      <c r="C309" t="s">
        <v>69</v>
      </c>
      <c r="D309" t="s">
        <v>101</v>
      </c>
      <c r="E309">
        <v>1900</v>
      </c>
    </row>
    <row r="310" spans="2:5" x14ac:dyDescent="0.3">
      <c r="B310" s="7">
        <v>45473</v>
      </c>
      <c r="C310" t="s">
        <v>69</v>
      </c>
      <c r="D310" t="s">
        <v>102</v>
      </c>
      <c r="E310">
        <v>1900</v>
      </c>
    </row>
    <row r="311" spans="2:5" x14ac:dyDescent="0.3">
      <c r="B311" s="7">
        <v>45473</v>
      </c>
      <c r="C311" t="s">
        <v>21</v>
      </c>
      <c r="D311" t="s">
        <v>92</v>
      </c>
      <c r="E311">
        <v>646</v>
      </c>
    </row>
    <row r="312" spans="2:5" x14ac:dyDescent="0.3">
      <c r="B312" s="7">
        <v>45473</v>
      </c>
      <c r="C312" t="s">
        <v>21</v>
      </c>
      <c r="D312" t="s">
        <v>93</v>
      </c>
      <c r="E312">
        <v>764</v>
      </c>
    </row>
    <row r="313" spans="2:5" x14ac:dyDescent="0.3">
      <c r="B313" s="7">
        <v>45473</v>
      </c>
      <c r="C313" t="s">
        <v>21</v>
      </c>
      <c r="D313" t="s">
        <v>94</v>
      </c>
      <c r="E313">
        <v>517</v>
      </c>
    </row>
    <row r="314" spans="2:5" x14ac:dyDescent="0.3">
      <c r="B314" s="7">
        <v>45473</v>
      </c>
      <c r="C314" t="s">
        <v>21</v>
      </c>
      <c r="D314" t="s">
        <v>95</v>
      </c>
      <c r="E314">
        <v>658</v>
      </c>
    </row>
    <row r="315" spans="2:5" x14ac:dyDescent="0.3">
      <c r="B315" s="7">
        <v>45473</v>
      </c>
      <c r="C315" t="s">
        <v>21</v>
      </c>
      <c r="D315" t="s">
        <v>96</v>
      </c>
      <c r="E315">
        <v>376</v>
      </c>
    </row>
    <row r="316" spans="2:5" x14ac:dyDescent="0.3">
      <c r="B316" s="7">
        <v>45473</v>
      </c>
      <c r="C316" t="s">
        <v>21</v>
      </c>
      <c r="D316" t="s">
        <v>97</v>
      </c>
      <c r="E316">
        <v>376</v>
      </c>
    </row>
    <row r="317" spans="2:5" x14ac:dyDescent="0.3">
      <c r="B317" s="7">
        <v>45473</v>
      </c>
      <c r="C317" t="s">
        <v>21</v>
      </c>
      <c r="D317" t="s">
        <v>98</v>
      </c>
      <c r="E317">
        <v>282</v>
      </c>
    </row>
    <row r="318" spans="2:5" x14ac:dyDescent="0.3">
      <c r="B318" s="7">
        <v>45473</v>
      </c>
      <c r="C318" t="s">
        <v>21</v>
      </c>
      <c r="D318" t="s">
        <v>99</v>
      </c>
      <c r="E318">
        <v>329</v>
      </c>
    </row>
    <row r="319" spans="2:5" x14ac:dyDescent="0.3">
      <c r="B319" s="7">
        <v>45473</v>
      </c>
      <c r="C319" t="s">
        <v>21</v>
      </c>
      <c r="D319" t="s">
        <v>100</v>
      </c>
      <c r="E319">
        <v>282</v>
      </c>
    </row>
    <row r="320" spans="2:5" x14ac:dyDescent="0.3">
      <c r="B320" s="7">
        <v>45473</v>
      </c>
      <c r="C320" t="s">
        <v>21</v>
      </c>
      <c r="D320" t="s">
        <v>101</v>
      </c>
      <c r="E320">
        <v>235</v>
      </c>
    </row>
    <row r="321" spans="2:5" x14ac:dyDescent="0.3">
      <c r="B321" s="7">
        <v>45473</v>
      </c>
      <c r="C321" t="s">
        <v>21</v>
      </c>
      <c r="D321" t="s">
        <v>102</v>
      </c>
      <c r="E321">
        <v>235</v>
      </c>
    </row>
    <row r="322" spans="2:5" x14ac:dyDescent="0.3">
      <c r="B322" s="7">
        <v>45473</v>
      </c>
      <c r="C322" t="s">
        <v>26</v>
      </c>
      <c r="D322" t="s">
        <v>92</v>
      </c>
      <c r="E322">
        <v>4500</v>
      </c>
    </row>
    <row r="323" spans="2:5" x14ac:dyDescent="0.3">
      <c r="B323" s="7">
        <v>45473</v>
      </c>
      <c r="C323" t="s">
        <v>26</v>
      </c>
      <c r="D323" t="s">
        <v>93</v>
      </c>
      <c r="E323">
        <v>3000</v>
      </c>
    </row>
    <row r="324" spans="2:5" x14ac:dyDescent="0.3">
      <c r="B324" s="7">
        <v>45473</v>
      </c>
      <c r="C324" t="s">
        <v>26</v>
      </c>
      <c r="D324" t="s">
        <v>94</v>
      </c>
      <c r="E324">
        <v>2750</v>
      </c>
    </row>
    <row r="325" spans="2:5" x14ac:dyDescent="0.3">
      <c r="B325" s="7">
        <v>45473</v>
      </c>
      <c r="C325" t="s">
        <v>26</v>
      </c>
      <c r="D325" t="s">
        <v>95</v>
      </c>
      <c r="E325">
        <v>3500</v>
      </c>
    </row>
    <row r="326" spans="2:5" x14ac:dyDescent="0.3">
      <c r="B326" s="7">
        <v>45473</v>
      </c>
      <c r="C326" t="s">
        <v>26</v>
      </c>
      <c r="D326" t="s">
        <v>96</v>
      </c>
      <c r="E326">
        <v>2000</v>
      </c>
    </row>
    <row r="327" spans="2:5" x14ac:dyDescent="0.3">
      <c r="B327" s="7">
        <v>45473</v>
      </c>
      <c r="C327" t="s">
        <v>26</v>
      </c>
      <c r="D327" t="s">
        <v>97</v>
      </c>
      <c r="E327">
        <v>2000</v>
      </c>
    </row>
    <row r="328" spans="2:5" x14ac:dyDescent="0.3">
      <c r="B328" s="7">
        <v>45473</v>
      </c>
      <c r="C328" t="s">
        <v>26</v>
      </c>
      <c r="D328" t="s">
        <v>98</v>
      </c>
      <c r="E328">
        <v>1500</v>
      </c>
    </row>
    <row r="329" spans="2:5" x14ac:dyDescent="0.3">
      <c r="B329" s="7">
        <v>45473</v>
      </c>
      <c r="C329" t="s">
        <v>26</v>
      </c>
      <c r="D329" t="s">
        <v>99</v>
      </c>
      <c r="E329">
        <v>1750</v>
      </c>
    </row>
    <row r="330" spans="2:5" x14ac:dyDescent="0.3">
      <c r="B330" s="7">
        <v>45473</v>
      </c>
      <c r="C330" t="s">
        <v>26</v>
      </c>
      <c r="D330" t="s">
        <v>100</v>
      </c>
      <c r="E330">
        <v>1500</v>
      </c>
    </row>
    <row r="331" spans="2:5" x14ac:dyDescent="0.3">
      <c r="B331" s="7">
        <v>45473</v>
      </c>
      <c r="C331" t="s">
        <v>26</v>
      </c>
      <c r="D331" t="s">
        <v>101</v>
      </c>
      <c r="E331">
        <v>1250</v>
      </c>
    </row>
    <row r="332" spans="2:5" x14ac:dyDescent="0.3">
      <c r="B332" s="7">
        <v>45473</v>
      </c>
      <c r="C332" t="s">
        <v>26</v>
      </c>
      <c r="D332" t="s">
        <v>102</v>
      </c>
      <c r="E332">
        <v>1250</v>
      </c>
    </row>
    <row r="333" spans="2:5" x14ac:dyDescent="0.3">
      <c r="B333" s="7">
        <v>45504</v>
      </c>
      <c r="C333" t="s">
        <v>3</v>
      </c>
      <c r="D333" t="s">
        <v>92</v>
      </c>
      <c r="E333">
        <v>1234</v>
      </c>
    </row>
    <row r="334" spans="2:5" x14ac:dyDescent="0.3">
      <c r="B334" s="7">
        <v>45504</v>
      </c>
      <c r="C334" t="s">
        <v>3</v>
      </c>
      <c r="D334" t="s">
        <v>93</v>
      </c>
      <c r="E334">
        <v>1356</v>
      </c>
    </row>
    <row r="335" spans="2:5" x14ac:dyDescent="0.3">
      <c r="B335" s="7">
        <v>45504</v>
      </c>
      <c r="C335" t="s">
        <v>3</v>
      </c>
      <c r="D335" t="s">
        <v>94</v>
      </c>
      <c r="E335">
        <v>1243</v>
      </c>
    </row>
    <row r="336" spans="2:5" x14ac:dyDescent="0.3">
      <c r="B336" s="7">
        <v>45504</v>
      </c>
      <c r="C336" t="s">
        <v>3</v>
      </c>
      <c r="D336" t="s">
        <v>95</v>
      </c>
      <c r="E336">
        <v>1582</v>
      </c>
    </row>
    <row r="337" spans="2:5" x14ac:dyDescent="0.3">
      <c r="B337" s="7">
        <v>45504</v>
      </c>
      <c r="C337" t="s">
        <v>3</v>
      </c>
      <c r="D337" t="s">
        <v>96</v>
      </c>
      <c r="E337">
        <v>904</v>
      </c>
    </row>
    <row r="338" spans="2:5" x14ac:dyDescent="0.3">
      <c r="B338" s="7">
        <v>45504</v>
      </c>
      <c r="C338" t="s">
        <v>3</v>
      </c>
      <c r="D338" t="s">
        <v>97</v>
      </c>
      <c r="E338">
        <v>904</v>
      </c>
    </row>
    <row r="339" spans="2:5" x14ac:dyDescent="0.3">
      <c r="B339" s="7">
        <v>45504</v>
      </c>
      <c r="C339" t="s">
        <v>3</v>
      </c>
      <c r="D339" t="s">
        <v>98</v>
      </c>
      <c r="E339">
        <v>678</v>
      </c>
    </row>
    <row r="340" spans="2:5" x14ac:dyDescent="0.3">
      <c r="B340" s="7">
        <v>45504</v>
      </c>
      <c r="C340" t="s">
        <v>3</v>
      </c>
      <c r="D340" t="s">
        <v>99</v>
      </c>
      <c r="E340">
        <v>791</v>
      </c>
    </row>
    <row r="341" spans="2:5" x14ac:dyDescent="0.3">
      <c r="B341" s="7">
        <v>45504</v>
      </c>
      <c r="C341" t="s">
        <v>3</v>
      </c>
      <c r="D341" t="s">
        <v>100</v>
      </c>
      <c r="E341">
        <v>678</v>
      </c>
    </row>
    <row r="342" spans="2:5" x14ac:dyDescent="0.3">
      <c r="B342" s="7">
        <v>45504</v>
      </c>
      <c r="C342" t="s">
        <v>3</v>
      </c>
      <c r="D342" t="s">
        <v>101</v>
      </c>
      <c r="E342">
        <v>565</v>
      </c>
    </row>
    <row r="343" spans="2:5" x14ac:dyDescent="0.3">
      <c r="B343" s="7">
        <v>45504</v>
      </c>
      <c r="C343" t="s">
        <v>3</v>
      </c>
      <c r="D343" t="s">
        <v>102</v>
      </c>
      <c r="E343">
        <v>565</v>
      </c>
    </row>
    <row r="344" spans="2:5" x14ac:dyDescent="0.3">
      <c r="B344" s="7">
        <v>45504</v>
      </c>
      <c r="C344" t="s">
        <v>9</v>
      </c>
      <c r="D344" t="s">
        <v>92</v>
      </c>
      <c r="E344">
        <v>4410</v>
      </c>
    </row>
    <row r="345" spans="2:5" x14ac:dyDescent="0.3">
      <c r="B345" s="7">
        <v>45504</v>
      </c>
      <c r="C345" t="s">
        <v>9</v>
      </c>
      <c r="D345" t="s">
        <v>93</v>
      </c>
      <c r="E345">
        <v>2940</v>
      </c>
    </row>
    <row r="346" spans="2:5" x14ac:dyDescent="0.3">
      <c r="B346" s="7">
        <v>45504</v>
      </c>
      <c r="C346" t="s">
        <v>9</v>
      </c>
      <c r="D346" t="s">
        <v>94</v>
      </c>
      <c r="E346">
        <v>2695</v>
      </c>
    </row>
    <row r="347" spans="2:5" x14ac:dyDescent="0.3">
      <c r="B347" s="7">
        <v>45504</v>
      </c>
      <c r="C347" t="s">
        <v>9</v>
      </c>
      <c r="D347" t="s">
        <v>95</v>
      </c>
      <c r="E347">
        <v>3430</v>
      </c>
    </row>
    <row r="348" spans="2:5" x14ac:dyDescent="0.3">
      <c r="B348" s="7">
        <v>45504</v>
      </c>
      <c r="C348" t="s">
        <v>9</v>
      </c>
      <c r="D348" t="s">
        <v>96</v>
      </c>
      <c r="E348">
        <v>1960</v>
      </c>
    </row>
    <row r="349" spans="2:5" x14ac:dyDescent="0.3">
      <c r="B349" s="7">
        <v>45504</v>
      </c>
      <c r="C349" t="s">
        <v>9</v>
      </c>
      <c r="D349" t="s">
        <v>97</v>
      </c>
      <c r="E349">
        <v>1960</v>
      </c>
    </row>
    <row r="350" spans="2:5" x14ac:dyDescent="0.3">
      <c r="B350" s="7">
        <v>45504</v>
      </c>
      <c r="C350" t="s">
        <v>9</v>
      </c>
      <c r="D350" t="s">
        <v>98</v>
      </c>
      <c r="E350">
        <v>1470</v>
      </c>
    </row>
    <row r="351" spans="2:5" x14ac:dyDescent="0.3">
      <c r="B351" s="7">
        <v>45504</v>
      </c>
      <c r="C351" t="s">
        <v>9</v>
      </c>
      <c r="D351" t="s">
        <v>99</v>
      </c>
      <c r="E351">
        <v>1715</v>
      </c>
    </row>
    <row r="352" spans="2:5" x14ac:dyDescent="0.3">
      <c r="B352" s="7">
        <v>45504</v>
      </c>
      <c r="C352" t="s">
        <v>9</v>
      </c>
      <c r="D352" t="s">
        <v>100</v>
      </c>
      <c r="E352">
        <v>1470</v>
      </c>
    </row>
    <row r="353" spans="2:5" x14ac:dyDescent="0.3">
      <c r="B353" s="7">
        <v>45504</v>
      </c>
      <c r="C353" t="s">
        <v>9</v>
      </c>
      <c r="D353" t="s">
        <v>101</v>
      </c>
      <c r="E353">
        <v>1225</v>
      </c>
    </row>
    <row r="354" spans="2:5" x14ac:dyDescent="0.3">
      <c r="B354" s="7">
        <v>45504</v>
      </c>
      <c r="C354" t="s">
        <v>9</v>
      </c>
      <c r="D354" t="s">
        <v>102</v>
      </c>
      <c r="E354">
        <v>1225</v>
      </c>
    </row>
    <row r="355" spans="2:5" x14ac:dyDescent="0.3">
      <c r="B355" s="7">
        <v>45504</v>
      </c>
      <c r="C355" t="s">
        <v>69</v>
      </c>
      <c r="D355" t="s">
        <v>92</v>
      </c>
      <c r="E355">
        <v>7020</v>
      </c>
    </row>
    <row r="356" spans="2:5" x14ac:dyDescent="0.3">
      <c r="B356" s="7">
        <v>45504</v>
      </c>
      <c r="C356" t="s">
        <v>69</v>
      </c>
      <c r="D356" t="s">
        <v>93</v>
      </c>
      <c r="E356">
        <v>4680</v>
      </c>
    </row>
    <row r="357" spans="2:5" x14ac:dyDescent="0.3">
      <c r="B357" s="7">
        <v>45504</v>
      </c>
      <c r="C357" t="s">
        <v>69</v>
      </c>
      <c r="D357" t="s">
        <v>94</v>
      </c>
      <c r="E357">
        <v>4290</v>
      </c>
    </row>
    <row r="358" spans="2:5" x14ac:dyDescent="0.3">
      <c r="B358" s="7">
        <v>45504</v>
      </c>
      <c r="C358" t="s">
        <v>69</v>
      </c>
      <c r="D358" t="s">
        <v>95</v>
      </c>
      <c r="E358">
        <v>5460</v>
      </c>
    </row>
    <row r="359" spans="2:5" x14ac:dyDescent="0.3">
      <c r="B359" s="7">
        <v>45504</v>
      </c>
      <c r="C359" t="s">
        <v>69</v>
      </c>
      <c r="D359" t="s">
        <v>96</v>
      </c>
      <c r="E359">
        <v>3120</v>
      </c>
    </row>
    <row r="360" spans="2:5" x14ac:dyDescent="0.3">
      <c r="B360" s="7">
        <v>45504</v>
      </c>
      <c r="C360" t="s">
        <v>69</v>
      </c>
      <c r="D360" t="s">
        <v>97</v>
      </c>
      <c r="E360">
        <v>3120</v>
      </c>
    </row>
    <row r="361" spans="2:5" x14ac:dyDescent="0.3">
      <c r="B361" s="7">
        <v>45504</v>
      </c>
      <c r="C361" t="s">
        <v>69</v>
      </c>
      <c r="D361" t="s">
        <v>98</v>
      </c>
      <c r="E361">
        <v>2340</v>
      </c>
    </row>
    <row r="362" spans="2:5" x14ac:dyDescent="0.3">
      <c r="B362" s="7">
        <v>45504</v>
      </c>
      <c r="C362" t="s">
        <v>69</v>
      </c>
      <c r="D362" t="s">
        <v>99</v>
      </c>
      <c r="E362">
        <v>2730</v>
      </c>
    </row>
    <row r="363" spans="2:5" x14ac:dyDescent="0.3">
      <c r="B363" s="7">
        <v>45504</v>
      </c>
      <c r="C363" t="s">
        <v>69</v>
      </c>
      <c r="D363" t="s">
        <v>100</v>
      </c>
      <c r="E363">
        <v>2340</v>
      </c>
    </row>
    <row r="364" spans="2:5" x14ac:dyDescent="0.3">
      <c r="B364" s="7">
        <v>45504</v>
      </c>
      <c r="C364" t="s">
        <v>69</v>
      </c>
      <c r="D364" t="s">
        <v>101</v>
      </c>
      <c r="E364">
        <v>1950</v>
      </c>
    </row>
    <row r="365" spans="2:5" x14ac:dyDescent="0.3">
      <c r="B365" s="7">
        <v>45504</v>
      </c>
      <c r="C365" t="s">
        <v>69</v>
      </c>
      <c r="D365" t="s">
        <v>102</v>
      </c>
      <c r="E365">
        <v>1950</v>
      </c>
    </row>
    <row r="366" spans="2:5" x14ac:dyDescent="0.3">
      <c r="B366" s="7">
        <v>45504</v>
      </c>
      <c r="C366" t="s">
        <v>21</v>
      </c>
      <c r="D366" t="s">
        <v>92</v>
      </c>
      <c r="E366">
        <v>918</v>
      </c>
    </row>
    <row r="367" spans="2:5" x14ac:dyDescent="0.3">
      <c r="B367" s="7">
        <v>45504</v>
      </c>
      <c r="C367" t="s">
        <v>21</v>
      </c>
      <c r="D367" t="s">
        <v>93</v>
      </c>
      <c r="E367">
        <v>612</v>
      </c>
    </row>
    <row r="368" spans="2:5" x14ac:dyDescent="0.3">
      <c r="B368" s="7">
        <v>45504</v>
      </c>
      <c r="C368" t="s">
        <v>21</v>
      </c>
      <c r="D368" t="s">
        <v>94</v>
      </c>
      <c r="E368">
        <v>561</v>
      </c>
    </row>
    <row r="369" spans="2:5" x14ac:dyDescent="0.3">
      <c r="B369" s="7">
        <v>45504</v>
      </c>
      <c r="C369" t="s">
        <v>21</v>
      </c>
      <c r="D369" t="s">
        <v>95</v>
      </c>
      <c r="E369">
        <v>714</v>
      </c>
    </row>
    <row r="370" spans="2:5" x14ac:dyDescent="0.3">
      <c r="B370" s="7">
        <v>45504</v>
      </c>
      <c r="C370" t="s">
        <v>21</v>
      </c>
      <c r="D370" t="s">
        <v>96</v>
      </c>
      <c r="E370">
        <v>408</v>
      </c>
    </row>
    <row r="371" spans="2:5" x14ac:dyDescent="0.3">
      <c r="B371" s="7">
        <v>45504</v>
      </c>
      <c r="C371" t="s">
        <v>21</v>
      </c>
      <c r="D371" t="s">
        <v>97</v>
      </c>
      <c r="E371">
        <v>408</v>
      </c>
    </row>
    <row r="372" spans="2:5" x14ac:dyDescent="0.3">
      <c r="B372" s="7">
        <v>45504</v>
      </c>
      <c r="C372" t="s">
        <v>21</v>
      </c>
      <c r="D372" t="s">
        <v>98</v>
      </c>
      <c r="E372">
        <v>306</v>
      </c>
    </row>
    <row r="373" spans="2:5" x14ac:dyDescent="0.3">
      <c r="B373" s="7">
        <v>45504</v>
      </c>
      <c r="C373" t="s">
        <v>21</v>
      </c>
      <c r="D373" t="s">
        <v>99</v>
      </c>
      <c r="E373">
        <v>357</v>
      </c>
    </row>
    <row r="374" spans="2:5" x14ac:dyDescent="0.3">
      <c r="B374" s="7">
        <v>45504</v>
      </c>
      <c r="C374" t="s">
        <v>21</v>
      </c>
      <c r="D374" t="s">
        <v>100</v>
      </c>
      <c r="E374">
        <v>306</v>
      </c>
    </row>
    <row r="375" spans="2:5" x14ac:dyDescent="0.3">
      <c r="B375" s="7">
        <v>45504</v>
      </c>
      <c r="C375" t="s">
        <v>21</v>
      </c>
      <c r="D375" t="s">
        <v>101</v>
      </c>
      <c r="E375">
        <v>255</v>
      </c>
    </row>
    <row r="376" spans="2:5" x14ac:dyDescent="0.3">
      <c r="B376" s="7">
        <v>45504</v>
      </c>
      <c r="C376" t="s">
        <v>21</v>
      </c>
      <c r="D376" t="s">
        <v>102</v>
      </c>
      <c r="E376">
        <v>255</v>
      </c>
    </row>
    <row r="377" spans="2:5" x14ac:dyDescent="0.3">
      <c r="B377" s="7">
        <v>45504</v>
      </c>
      <c r="C377" t="s">
        <v>26</v>
      </c>
      <c r="D377" t="s">
        <v>92</v>
      </c>
      <c r="E377">
        <v>4770</v>
      </c>
    </row>
    <row r="378" spans="2:5" x14ac:dyDescent="0.3">
      <c r="B378" s="7">
        <v>45504</v>
      </c>
      <c r="C378" t="s">
        <v>26</v>
      </c>
      <c r="D378" t="s">
        <v>93</v>
      </c>
      <c r="E378">
        <v>3180</v>
      </c>
    </row>
    <row r="379" spans="2:5" x14ac:dyDescent="0.3">
      <c r="B379" s="7">
        <v>45504</v>
      </c>
      <c r="C379" t="s">
        <v>26</v>
      </c>
      <c r="D379" t="s">
        <v>94</v>
      </c>
      <c r="E379">
        <v>2915</v>
      </c>
    </row>
    <row r="380" spans="2:5" x14ac:dyDescent="0.3">
      <c r="B380" s="7">
        <v>45504</v>
      </c>
      <c r="C380" t="s">
        <v>26</v>
      </c>
      <c r="D380" t="s">
        <v>95</v>
      </c>
      <c r="E380">
        <v>3710</v>
      </c>
    </row>
    <row r="381" spans="2:5" x14ac:dyDescent="0.3">
      <c r="B381" s="7">
        <v>45504</v>
      </c>
      <c r="C381" t="s">
        <v>26</v>
      </c>
      <c r="D381" t="s">
        <v>96</v>
      </c>
      <c r="E381">
        <v>2120</v>
      </c>
    </row>
    <row r="382" spans="2:5" x14ac:dyDescent="0.3">
      <c r="B382" s="7">
        <v>45504</v>
      </c>
      <c r="C382" t="s">
        <v>26</v>
      </c>
      <c r="D382" t="s">
        <v>97</v>
      </c>
      <c r="E382">
        <v>2120</v>
      </c>
    </row>
    <row r="383" spans="2:5" x14ac:dyDescent="0.3">
      <c r="B383" s="7">
        <v>45504</v>
      </c>
      <c r="C383" t="s">
        <v>26</v>
      </c>
      <c r="D383" t="s">
        <v>98</v>
      </c>
      <c r="E383">
        <v>1590</v>
      </c>
    </row>
    <row r="384" spans="2:5" x14ac:dyDescent="0.3">
      <c r="B384" s="7">
        <v>45504</v>
      </c>
      <c r="C384" t="s">
        <v>26</v>
      </c>
      <c r="D384" t="s">
        <v>99</v>
      </c>
      <c r="E384">
        <v>1855</v>
      </c>
    </row>
    <row r="385" spans="2:5" x14ac:dyDescent="0.3">
      <c r="B385" s="7">
        <v>45504</v>
      </c>
      <c r="C385" t="s">
        <v>26</v>
      </c>
      <c r="D385" t="s">
        <v>100</v>
      </c>
      <c r="E385">
        <v>1590</v>
      </c>
    </row>
    <row r="386" spans="2:5" x14ac:dyDescent="0.3">
      <c r="B386" s="7">
        <v>45504</v>
      </c>
      <c r="C386" t="s">
        <v>26</v>
      </c>
      <c r="D386" t="s">
        <v>101</v>
      </c>
      <c r="E386">
        <v>1325</v>
      </c>
    </row>
    <row r="387" spans="2:5" x14ac:dyDescent="0.3">
      <c r="B387" s="7">
        <v>45504</v>
      </c>
      <c r="C387" t="s">
        <v>26</v>
      </c>
      <c r="D387" t="s">
        <v>102</v>
      </c>
      <c r="E387">
        <v>1325</v>
      </c>
    </row>
    <row r="388" spans="2:5" x14ac:dyDescent="0.3">
      <c r="B388" s="7">
        <v>45535</v>
      </c>
      <c r="C388" t="s">
        <v>3</v>
      </c>
      <c r="D388" t="s">
        <v>92</v>
      </c>
      <c r="E388">
        <v>2115</v>
      </c>
    </row>
    <row r="389" spans="2:5" x14ac:dyDescent="0.3">
      <c r="B389" s="7">
        <v>45535</v>
      </c>
      <c r="C389" t="s">
        <v>3</v>
      </c>
      <c r="D389" t="s">
        <v>93</v>
      </c>
      <c r="E389">
        <v>1410</v>
      </c>
    </row>
    <row r="390" spans="2:5" x14ac:dyDescent="0.3">
      <c r="B390" s="7">
        <v>45535</v>
      </c>
      <c r="C390" t="s">
        <v>3</v>
      </c>
      <c r="D390" t="s">
        <v>94</v>
      </c>
      <c r="E390">
        <v>1292</v>
      </c>
    </row>
    <row r="391" spans="2:5" x14ac:dyDescent="0.3">
      <c r="B391" s="7">
        <v>45535</v>
      </c>
      <c r="C391" t="s">
        <v>3</v>
      </c>
      <c r="D391" t="s">
        <v>95</v>
      </c>
      <c r="E391">
        <v>1645</v>
      </c>
    </row>
    <row r="392" spans="2:5" x14ac:dyDescent="0.3">
      <c r="B392" s="7">
        <v>45535</v>
      </c>
      <c r="C392" t="s">
        <v>3</v>
      </c>
      <c r="D392" t="s">
        <v>96</v>
      </c>
      <c r="E392">
        <v>940</v>
      </c>
    </row>
    <row r="393" spans="2:5" x14ac:dyDescent="0.3">
      <c r="B393" s="7">
        <v>45535</v>
      </c>
      <c r="C393" t="s">
        <v>3</v>
      </c>
      <c r="D393" t="s">
        <v>97</v>
      </c>
      <c r="E393">
        <v>940</v>
      </c>
    </row>
    <row r="394" spans="2:5" x14ac:dyDescent="0.3">
      <c r="B394" s="7">
        <v>45535</v>
      </c>
      <c r="C394" t="s">
        <v>3</v>
      </c>
      <c r="D394" t="s">
        <v>98</v>
      </c>
      <c r="E394">
        <v>705</v>
      </c>
    </row>
    <row r="395" spans="2:5" x14ac:dyDescent="0.3">
      <c r="B395" s="7">
        <v>45535</v>
      </c>
      <c r="C395" t="s">
        <v>3</v>
      </c>
      <c r="D395" t="s">
        <v>99</v>
      </c>
      <c r="E395">
        <v>823</v>
      </c>
    </row>
    <row r="396" spans="2:5" x14ac:dyDescent="0.3">
      <c r="B396" s="7">
        <v>45535</v>
      </c>
      <c r="C396" t="s">
        <v>3</v>
      </c>
      <c r="D396" t="s">
        <v>100</v>
      </c>
      <c r="E396">
        <v>705</v>
      </c>
    </row>
    <row r="397" spans="2:5" x14ac:dyDescent="0.3">
      <c r="B397" s="7">
        <v>45535</v>
      </c>
      <c r="C397" t="s">
        <v>3</v>
      </c>
      <c r="D397" t="s">
        <v>101</v>
      </c>
      <c r="E397">
        <v>588</v>
      </c>
    </row>
    <row r="398" spans="2:5" x14ac:dyDescent="0.3">
      <c r="B398" s="7">
        <v>45535</v>
      </c>
      <c r="C398" t="s">
        <v>3</v>
      </c>
      <c r="D398" t="s">
        <v>102</v>
      </c>
      <c r="E398">
        <v>588</v>
      </c>
    </row>
    <row r="399" spans="2:5" x14ac:dyDescent="0.3">
      <c r="B399" s="7">
        <v>45535</v>
      </c>
      <c r="C399" t="s">
        <v>9</v>
      </c>
      <c r="D399" t="s">
        <v>92</v>
      </c>
      <c r="E399">
        <v>4608</v>
      </c>
    </row>
    <row r="400" spans="2:5" x14ac:dyDescent="0.3">
      <c r="B400" s="7">
        <v>45535</v>
      </c>
      <c r="C400" t="s">
        <v>9</v>
      </c>
      <c r="D400" t="s">
        <v>93</v>
      </c>
      <c r="E400">
        <v>3072</v>
      </c>
    </row>
    <row r="401" spans="2:5" x14ac:dyDescent="0.3">
      <c r="B401" s="7">
        <v>45535</v>
      </c>
      <c r="C401" t="s">
        <v>9</v>
      </c>
      <c r="D401" t="s">
        <v>94</v>
      </c>
      <c r="E401">
        <v>2816</v>
      </c>
    </row>
    <row r="402" spans="2:5" x14ac:dyDescent="0.3">
      <c r="B402" s="7">
        <v>45535</v>
      </c>
      <c r="C402" t="s">
        <v>9</v>
      </c>
      <c r="D402" t="s">
        <v>95</v>
      </c>
      <c r="E402">
        <v>3584</v>
      </c>
    </row>
    <row r="403" spans="2:5" x14ac:dyDescent="0.3">
      <c r="B403" s="7">
        <v>45535</v>
      </c>
      <c r="C403" t="s">
        <v>9</v>
      </c>
      <c r="D403" t="s">
        <v>96</v>
      </c>
      <c r="E403">
        <v>2048</v>
      </c>
    </row>
    <row r="404" spans="2:5" x14ac:dyDescent="0.3">
      <c r="B404" s="7">
        <v>45535</v>
      </c>
      <c r="C404" t="s">
        <v>9</v>
      </c>
      <c r="D404" t="s">
        <v>97</v>
      </c>
      <c r="E404">
        <v>2048</v>
      </c>
    </row>
    <row r="405" spans="2:5" x14ac:dyDescent="0.3">
      <c r="B405" s="7">
        <v>45535</v>
      </c>
      <c r="C405" t="s">
        <v>9</v>
      </c>
      <c r="D405" t="s">
        <v>98</v>
      </c>
      <c r="E405">
        <v>1536</v>
      </c>
    </row>
    <row r="406" spans="2:5" x14ac:dyDescent="0.3">
      <c r="B406" s="7">
        <v>45535</v>
      </c>
      <c r="C406" t="s">
        <v>9</v>
      </c>
      <c r="D406" t="s">
        <v>99</v>
      </c>
      <c r="E406">
        <v>1792</v>
      </c>
    </row>
    <row r="407" spans="2:5" x14ac:dyDescent="0.3">
      <c r="B407" s="7">
        <v>45535</v>
      </c>
      <c r="C407" t="s">
        <v>9</v>
      </c>
      <c r="D407" t="s">
        <v>100</v>
      </c>
      <c r="E407">
        <v>1536</v>
      </c>
    </row>
    <row r="408" spans="2:5" x14ac:dyDescent="0.3">
      <c r="B408" s="7">
        <v>45535</v>
      </c>
      <c r="C408" t="s">
        <v>9</v>
      </c>
      <c r="D408" t="s">
        <v>101</v>
      </c>
      <c r="E408">
        <v>1280</v>
      </c>
    </row>
    <row r="409" spans="2:5" x14ac:dyDescent="0.3">
      <c r="B409" s="7">
        <v>45535</v>
      </c>
      <c r="C409" t="s">
        <v>9</v>
      </c>
      <c r="D409" t="s">
        <v>102</v>
      </c>
      <c r="E409">
        <v>1280</v>
      </c>
    </row>
    <row r="410" spans="2:5" x14ac:dyDescent="0.3">
      <c r="B410" s="7">
        <v>45535</v>
      </c>
      <c r="C410" t="s">
        <v>69</v>
      </c>
      <c r="D410" t="s">
        <v>92</v>
      </c>
      <c r="E410">
        <v>5040</v>
      </c>
    </row>
    <row r="411" spans="2:5" x14ac:dyDescent="0.3">
      <c r="B411" s="7">
        <v>45535</v>
      </c>
      <c r="C411" t="s">
        <v>69</v>
      </c>
      <c r="D411" t="s">
        <v>93</v>
      </c>
      <c r="E411">
        <v>3360</v>
      </c>
    </row>
    <row r="412" spans="2:5" x14ac:dyDescent="0.3">
      <c r="B412" s="7">
        <v>45535</v>
      </c>
      <c r="C412" t="s">
        <v>69</v>
      </c>
      <c r="D412" t="s">
        <v>94</v>
      </c>
      <c r="E412">
        <v>3080</v>
      </c>
    </row>
    <row r="413" spans="2:5" x14ac:dyDescent="0.3">
      <c r="B413" s="7">
        <v>45535</v>
      </c>
      <c r="C413" t="s">
        <v>69</v>
      </c>
      <c r="D413" t="s">
        <v>95</v>
      </c>
      <c r="E413">
        <v>3920</v>
      </c>
    </row>
    <row r="414" spans="2:5" x14ac:dyDescent="0.3">
      <c r="B414" s="7">
        <v>45535</v>
      </c>
      <c r="C414" t="s">
        <v>69</v>
      </c>
      <c r="D414" t="s">
        <v>96</v>
      </c>
      <c r="E414">
        <v>2240</v>
      </c>
    </row>
    <row r="415" spans="2:5" x14ac:dyDescent="0.3">
      <c r="B415" s="7">
        <v>45535</v>
      </c>
      <c r="C415" t="s">
        <v>69</v>
      </c>
      <c r="D415" t="s">
        <v>97</v>
      </c>
      <c r="E415">
        <v>2240</v>
      </c>
    </row>
    <row r="416" spans="2:5" x14ac:dyDescent="0.3">
      <c r="B416" s="7">
        <v>45535</v>
      </c>
      <c r="C416" t="s">
        <v>69</v>
      </c>
      <c r="D416" t="s">
        <v>98</v>
      </c>
      <c r="E416">
        <v>1680</v>
      </c>
    </row>
    <row r="417" spans="2:5" x14ac:dyDescent="0.3">
      <c r="B417" s="7">
        <v>45535</v>
      </c>
      <c r="C417" t="s">
        <v>69</v>
      </c>
      <c r="D417" t="s">
        <v>99</v>
      </c>
      <c r="E417">
        <v>1960</v>
      </c>
    </row>
    <row r="418" spans="2:5" x14ac:dyDescent="0.3">
      <c r="B418" s="7">
        <v>45535</v>
      </c>
      <c r="C418" t="s">
        <v>69</v>
      </c>
      <c r="D418" t="s">
        <v>100</v>
      </c>
      <c r="E418">
        <v>1680</v>
      </c>
    </row>
    <row r="419" spans="2:5" x14ac:dyDescent="0.3">
      <c r="B419" s="7">
        <v>45535</v>
      </c>
      <c r="C419" t="s">
        <v>69</v>
      </c>
      <c r="D419" t="s">
        <v>101</v>
      </c>
      <c r="E419">
        <v>1400</v>
      </c>
    </row>
    <row r="420" spans="2:5" x14ac:dyDescent="0.3">
      <c r="B420" s="7">
        <v>45535</v>
      </c>
      <c r="C420" t="s">
        <v>69</v>
      </c>
      <c r="D420" t="s">
        <v>102</v>
      </c>
      <c r="E420">
        <v>1400</v>
      </c>
    </row>
    <row r="421" spans="2:5" x14ac:dyDescent="0.3">
      <c r="B421" s="7">
        <v>45535</v>
      </c>
      <c r="C421" t="s">
        <v>21</v>
      </c>
      <c r="D421" t="s">
        <v>92</v>
      </c>
      <c r="E421">
        <v>764</v>
      </c>
    </row>
    <row r="422" spans="2:5" x14ac:dyDescent="0.3">
      <c r="B422" s="7">
        <v>45535</v>
      </c>
      <c r="C422" t="s">
        <v>21</v>
      </c>
      <c r="D422" t="s">
        <v>93</v>
      </c>
      <c r="E422">
        <v>676</v>
      </c>
    </row>
    <row r="423" spans="2:5" x14ac:dyDescent="0.3">
      <c r="B423" s="7">
        <v>45535</v>
      </c>
      <c r="C423" t="s">
        <v>21</v>
      </c>
      <c r="D423" t="s">
        <v>94</v>
      </c>
      <c r="E423">
        <v>528</v>
      </c>
    </row>
    <row r="424" spans="2:5" x14ac:dyDescent="0.3">
      <c r="B424" s="7">
        <v>45535</v>
      </c>
      <c r="C424" t="s">
        <v>21</v>
      </c>
      <c r="D424" t="s">
        <v>95</v>
      </c>
      <c r="E424">
        <v>572</v>
      </c>
    </row>
    <row r="425" spans="2:5" x14ac:dyDescent="0.3">
      <c r="B425" s="7">
        <v>45535</v>
      </c>
      <c r="C425" t="s">
        <v>21</v>
      </c>
      <c r="D425" t="s">
        <v>96</v>
      </c>
      <c r="E425">
        <v>384</v>
      </c>
    </row>
    <row r="426" spans="2:5" x14ac:dyDescent="0.3">
      <c r="B426" s="7">
        <v>45535</v>
      </c>
      <c r="C426" t="s">
        <v>21</v>
      </c>
      <c r="D426" t="s">
        <v>97</v>
      </c>
      <c r="E426">
        <v>384</v>
      </c>
    </row>
    <row r="427" spans="2:5" x14ac:dyDescent="0.3">
      <c r="B427" s="7">
        <v>45535</v>
      </c>
      <c r="C427" t="s">
        <v>21</v>
      </c>
      <c r="D427" t="s">
        <v>98</v>
      </c>
      <c r="E427">
        <v>288</v>
      </c>
    </row>
    <row r="428" spans="2:5" x14ac:dyDescent="0.3">
      <c r="B428" s="7">
        <v>45535</v>
      </c>
      <c r="C428" t="s">
        <v>21</v>
      </c>
      <c r="D428" t="s">
        <v>99</v>
      </c>
      <c r="E428">
        <v>336</v>
      </c>
    </row>
    <row r="429" spans="2:5" x14ac:dyDescent="0.3">
      <c r="B429" s="7">
        <v>45535</v>
      </c>
      <c r="C429" t="s">
        <v>21</v>
      </c>
      <c r="D429" t="s">
        <v>100</v>
      </c>
      <c r="E429">
        <v>288</v>
      </c>
    </row>
    <row r="430" spans="2:5" x14ac:dyDescent="0.3">
      <c r="B430" s="7">
        <v>45535</v>
      </c>
      <c r="C430" t="s">
        <v>21</v>
      </c>
      <c r="D430" t="s">
        <v>101</v>
      </c>
      <c r="E430">
        <v>340</v>
      </c>
    </row>
    <row r="431" spans="2:5" x14ac:dyDescent="0.3">
      <c r="B431" s="7">
        <v>45535</v>
      </c>
      <c r="C431" t="s">
        <v>21</v>
      </c>
      <c r="D431" t="s">
        <v>102</v>
      </c>
      <c r="E431">
        <v>240</v>
      </c>
    </row>
    <row r="432" spans="2:5" x14ac:dyDescent="0.3">
      <c r="B432" s="7">
        <v>45535</v>
      </c>
      <c r="C432" t="s">
        <v>26</v>
      </c>
      <c r="D432" t="s">
        <v>92</v>
      </c>
      <c r="E432">
        <v>4860</v>
      </c>
    </row>
    <row r="433" spans="2:5" x14ac:dyDescent="0.3">
      <c r="B433" s="7">
        <v>45535</v>
      </c>
      <c r="C433" t="s">
        <v>26</v>
      </c>
      <c r="D433" t="s">
        <v>93</v>
      </c>
      <c r="E433">
        <v>3240</v>
      </c>
    </row>
    <row r="434" spans="2:5" x14ac:dyDescent="0.3">
      <c r="B434" s="7">
        <v>45535</v>
      </c>
      <c r="C434" t="s">
        <v>26</v>
      </c>
      <c r="D434" t="s">
        <v>94</v>
      </c>
      <c r="E434">
        <v>2970</v>
      </c>
    </row>
    <row r="435" spans="2:5" x14ac:dyDescent="0.3">
      <c r="B435" s="7">
        <v>45535</v>
      </c>
      <c r="C435" t="s">
        <v>26</v>
      </c>
      <c r="D435" t="s">
        <v>95</v>
      </c>
      <c r="E435">
        <v>3780</v>
      </c>
    </row>
    <row r="436" spans="2:5" x14ac:dyDescent="0.3">
      <c r="B436" s="7">
        <v>45535</v>
      </c>
      <c r="C436" t="s">
        <v>26</v>
      </c>
      <c r="D436" t="s">
        <v>96</v>
      </c>
      <c r="E436">
        <v>2160</v>
      </c>
    </row>
    <row r="437" spans="2:5" x14ac:dyDescent="0.3">
      <c r="B437" s="7">
        <v>45535</v>
      </c>
      <c r="C437" t="s">
        <v>26</v>
      </c>
      <c r="D437" t="s">
        <v>97</v>
      </c>
      <c r="E437">
        <v>2160</v>
      </c>
    </row>
    <row r="438" spans="2:5" x14ac:dyDescent="0.3">
      <c r="B438" s="7">
        <v>45535</v>
      </c>
      <c r="C438" t="s">
        <v>26</v>
      </c>
      <c r="D438" t="s">
        <v>98</v>
      </c>
      <c r="E438">
        <v>1620</v>
      </c>
    </row>
    <row r="439" spans="2:5" x14ac:dyDescent="0.3">
      <c r="B439" s="7">
        <v>45535</v>
      </c>
      <c r="C439" t="s">
        <v>26</v>
      </c>
      <c r="D439" t="s">
        <v>99</v>
      </c>
      <c r="E439">
        <v>1890</v>
      </c>
    </row>
    <row r="440" spans="2:5" x14ac:dyDescent="0.3">
      <c r="B440" s="7">
        <v>45535</v>
      </c>
      <c r="C440" t="s">
        <v>26</v>
      </c>
      <c r="D440" t="s">
        <v>100</v>
      </c>
      <c r="E440">
        <v>1620</v>
      </c>
    </row>
    <row r="441" spans="2:5" x14ac:dyDescent="0.3">
      <c r="B441" s="7">
        <v>45535</v>
      </c>
      <c r="C441" t="s">
        <v>26</v>
      </c>
      <c r="D441" t="s">
        <v>101</v>
      </c>
      <c r="E441">
        <v>1350</v>
      </c>
    </row>
    <row r="442" spans="2:5" x14ac:dyDescent="0.3">
      <c r="B442" s="7">
        <v>45535</v>
      </c>
      <c r="C442" t="s">
        <v>26</v>
      </c>
      <c r="D442" t="s">
        <v>102</v>
      </c>
      <c r="E442">
        <v>1350</v>
      </c>
    </row>
    <row r="443" spans="2:5" x14ac:dyDescent="0.3">
      <c r="B443" s="7">
        <v>45565</v>
      </c>
      <c r="C443" t="s">
        <v>3</v>
      </c>
      <c r="D443" t="s">
        <v>92</v>
      </c>
      <c r="E443">
        <v>1944</v>
      </c>
    </row>
    <row r="444" spans="2:5" x14ac:dyDescent="0.3">
      <c r="B444" s="7">
        <v>45565</v>
      </c>
      <c r="C444" t="s">
        <v>3</v>
      </c>
      <c r="D444" t="s">
        <v>93</v>
      </c>
      <c r="E444">
        <v>1296</v>
      </c>
    </row>
    <row r="445" spans="2:5" x14ac:dyDescent="0.3">
      <c r="B445" s="7">
        <v>45565</v>
      </c>
      <c r="C445" t="s">
        <v>3</v>
      </c>
      <c r="D445" t="s">
        <v>94</v>
      </c>
      <c r="E445">
        <v>1188</v>
      </c>
    </row>
    <row r="446" spans="2:5" x14ac:dyDescent="0.3">
      <c r="B446" s="7">
        <v>45565</v>
      </c>
      <c r="C446" t="s">
        <v>3</v>
      </c>
      <c r="D446" t="s">
        <v>95</v>
      </c>
      <c r="E446">
        <v>1512</v>
      </c>
    </row>
    <row r="447" spans="2:5" x14ac:dyDescent="0.3">
      <c r="B447" s="7">
        <v>45565</v>
      </c>
      <c r="C447" t="s">
        <v>3</v>
      </c>
      <c r="D447" t="s">
        <v>96</v>
      </c>
      <c r="E447">
        <v>864</v>
      </c>
    </row>
    <row r="448" spans="2:5" x14ac:dyDescent="0.3">
      <c r="B448" s="7">
        <v>45565</v>
      </c>
      <c r="C448" t="s">
        <v>3</v>
      </c>
      <c r="D448" t="s">
        <v>97</v>
      </c>
      <c r="E448">
        <v>864</v>
      </c>
    </row>
    <row r="449" spans="2:5" x14ac:dyDescent="0.3">
      <c r="B449" s="7">
        <v>45565</v>
      </c>
      <c r="C449" t="s">
        <v>3</v>
      </c>
      <c r="D449" t="s">
        <v>98</v>
      </c>
      <c r="E449">
        <v>648</v>
      </c>
    </row>
    <row r="450" spans="2:5" x14ac:dyDescent="0.3">
      <c r="B450" s="7">
        <v>45565</v>
      </c>
      <c r="C450" t="s">
        <v>3</v>
      </c>
      <c r="D450" t="s">
        <v>99</v>
      </c>
      <c r="E450">
        <v>756</v>
      </c>
    </row>
    <row r="451" spans="2:5" x14ac:dyDescent="0.3">
      <c r="B451" s="7">
        <v>45565</v>
      </c>
      <c r="C451" t="s">
        <v>3</v>
      </c>
      <c r="D451" t="s">
        <v>100</v>
      </c>
      <c r="E451">
        <v>648</v>
      </c>
    </row>
    <row r="452" spans="2:5" x14ac:dyDescent="0.3">
      <c r="B452" s="7">
        <v>45565</v>
      </c>
      <c r="C452" t="s">
        <v>3</v>
      </c>
      <c r="D452" t="s">
        <v>101</v>
      </c>
      <c r="E452">
        <v>540</v>
      </c>
    </row>
    <row r="453" spans="2:5" x14ac:dyDescent="0.3">
      <c r="B453" s="7">
        <v>45565</v>
      </c>
      <c r="C453" t="s">
        <v>3</v>
      </c>
      <c r="D453" t="s">
        <v>102</v>
      </c>
      <c r="E453">
        <v>540</v>
      </c>
    </row>
    <row r="454" spans="2:5" x14ac:dyDescent="0.3">
      <c r="B454" s="7">
        <v>45565</v>
      </c>
      <c r="C454" t="s">
        <v>9</v>
      </c>
      <c r="D454" t="s">
        <v>92</v>
      </c>
      <c r="E454">
        <v>5202</v>
      </c>
    </row>
    <row r="455" spans="2:5" x14ac:dyDescent="0.3">
      <c r="B455" s="7">
        <v>45565</v>
      </c>
      <c r="C455" t="s">
        <v>9</v>
      </c>
      <c r="D455" t="s">
        <v>93</v>
      </c>
      <c r="E455">
        <v>3468</v>
      </c>
    </row>
    <row r="456" spans="2:5" x14ac:dyDescent="0.3">
      <c r="B456" s="7">
        <v>45565</v>
      </c>
      <c r="C456" t="s">
        <v>9</v>
      </c>
      <c r="D456" t="s">
        <v>94</v>
      </c>
      <c r="E456">
        <v>3179</v>
      </c>
    </row>
    <row r="457" spans="2:5" x14ac:dyDescent="0.3">
      <c r="B457" s="7">
        <v>45565</v>
      </c>
      <c r="C457" t="s">
        <v>9</v>
      </c>
      <c r="D457" t="s">
        <v>95</v>
      </c>
      <c r="E457">
        <v>4046</v>
      </c>
    </row>
    <row r="458" spans="2:5" x14ac:dyDescent="0.3">
      <c r="B458" s="7">
        <v>45565</v>
      </c>
      <c r="C458" t="s">
        <v>9</v>
      </c>
      <c r="D458" t="s">
        <v>96</v>
      </c>
      <c r="E458">
        <v>2312</v>
      </c>
    </row>
    <row r="459" spans="2:5" x14ac:dyDescent="0.3">
      <c r="B459" s="7">
        <v>45565</v>
      </c>
      <c r="C459" t="s">
        <v>9</v>
      </c>
      <c r="D459" t="s">
        <v>97</v>
      </c>
      <c r="E459">
        <v>2312</v>
      </c>
    </row>
    <row r="460" spans="2:5" x14ac:dyDescent="0.3">
      <c r="B460" s="7">
        <v>45565</v>
      </c>
      <c r="C460" t="s">
        <v>9</v>
      </c>
      <c r="D460" t="s">
        <v>98</v>
      </c>
      <c r="E460">
        <v>1734</v>
      </c>
    </row>
    <row r="461" spans="2:5" x14ac:dyDescent="0.3">
      <c r="B461" s="7">
        <v>45565</v>
      </c>
      <c r="C461" t="s">
        <v>9</v>
      </c>
      <c r="D461" t="s">
        <v>99</v>
      </c>
      <c r="E461">
        <v>2023</v>
      </c>
    </row>
    <row r="462" spans="2:5" x14ac:dyDescent="0.3">
      <c r="B462" s="7">
        <v>45565</v>
      </c>
      <c r="C462" t="s">
        <v>9</v>
      </c>
      <c r="D462" t="s">
        <v>100</v>
      </c>
      <c r="E462">
        <v>1734</v>
      </c>
    </row>
    <row r="463" spans="2:5" x14ac:dyDescent="0.3">
      <c r="B463" s="7">
        <v>45565</v>
      </c>
      <c r="C463" t="s">
        <v>9</v>
      </c>
      <c r="D463" t="s">
        <v>101</v>
      </c>
      <c r="E463">
        <v>1445</v>
      </c>
    </row>
    <row r="464" spans="2:5" x14ac:dyDescent="0.3">
      <c r="B464" s="7">
        <v>45565</v>
      </c>
      <c r="C464" t="s">
        <v>9</v>
      </c>
      <c r="D464" t="s">
        <v>102</v>
      </c>
      <c r="E464">
        <v>1445</v>
      </c>
    </row>
    <row r="465" spans="2:5" x14ac:dyDescent="0.3">
      <c r="B465" s="7">
        <v>45565</v>
      </c>
      <c r="C465" t="s">
        <v>69</v>
      </c>
      <c r="D465" t="s">
        <v>92</v>
      </c>
      <c r="E465">
        <v>4449</v>
      </c>
    </row>
    <row r="466" spans="2:5" x14ac:dyDescent="0.3">
      <c r="B466" s="7">
        <v>45565</v>
      </c>
      <c r="C466" t="s">
        <v>69</v>
      </c>
      <c r="D466" t="s">
        <v>93</v>
      </c>
      <c r="E466">
        <v>2966</v>
      </c>
    </row>
    <row r="467" spans="2:5" x14ac:dyDescent="0.3">
      <c r="B467" s="7">
        <v>45565</v>
      </c>
      <c r="C467" t="s">
        <v>69</v>
      </c>
      <c r="D467" t="s">
        <v>94</v>
      </c>
      <c r="E467">
        <v>2719</v>
      </c>
    </row>
    <row r="468" spans="2:5" x14ac:dyDescent="0.3">
      <c r="B468" s="7">
        <v>45565</v>
      </c>
      <c r="C468" t="s">
        <v>69</v>
      </c>
      <c r="D468" t="s">
        <v>95</v>
      </c>
      <c r="E468">
        <v>3460</v>
      </c>
    </row>
    <row r="469" spans="2:5" x14ac:dyDescent="0.3">
      <c r="B469" s="7">
        <v>45565</v>
      </c>
      <c r="C469" t="s">
        <v>69</v>
      </c>
      <c r="D469" t="s">
        <v>96</v>
      </c>
      <c r="E469">
        <v>1977</v>
      </c>
    </row>
    <row r="470" spans="2:5" x14ac:dyDescent="0.3">
      <c r="B470" s="7">
        <v>45565</v>
      </c>
      <c r="C470" t="s">
        <v>69</v>
      </c>
      <c r="D470" t="s">
        <v>97</v>
      </c>
      <c r="E470">
        <v>1977</v>
      </c>
    </row>
    <row r="471" spans="2:5" x14ac:dyDescent="0.3">
      <c r="B471" s="7">
        <v>45565</v>
      </c>
      <c r="C471" t="s">
        <v>69</v>
      </c>
      <c r="D471" t="s">
        <v>98</v>
      </c>
      <c r="E471">
        <v>1483</v>
      </c>
    </row>
    <row r="472" spans="2:5" x14ac:dyDescent="0.3">
      <c r="B472" s="7">
        <v>45565</v>
      </c>
      <c r="C472" t="s">
        <v>69</v>
      </c>
      <c r="D472" t="s">
        <v>99</v>
      </c>
      <c r="E472">
        <v>1730</v>
      </c>
    </row>
    <row r="473" spans="2:5" x14ac:dyDescent="0.3">
      <c r="B473" s="7">
        <v>45565</v>
      </c>
      <c r="C473" t="s">
        <v>69</v>
      </c>
      <c r="D473" t="s">
        <v>100</v>
      </c>
      <c r="E473">
        <v>1483</v>
      </c>
    </row>
    <row r="474" spans="2:5" x14ac:dyDescent="0.3">
      <c r="B474" s="7">
        <v>45565</v>
      </c>
      <c r="C474" t="s">
        <v>69</v>
      </c>
      <c r="D474" t="s">
        <v>101</v>
      </c>
      <c r="E474">
        <v>1236</v>
      </c>
    </row>
    <row r="475" spans="2:5" x14ac:dyDescent="0.3">
      <c r="B475" s="7">
        <v>45565</v>
      </c>
      <c r="C475" t="s">
        <v>69</v>
      </c>
      <c r="D475" t="s">
        <v>102</v>
      </c>
      <c r="E475">
        <v>1236</v>
      </c>
    </row>
    <row r="476" spans="2:5" x14ac:dyDescent="0.3">
      <c r="B476" s="7">
        <v>45565</v>
      </c>
      <c r="C476" t="s">
        <v>21</v>
      </c>
      <c r="D476" t="s">
        <v>92</v>
      </c>
      <c r="E476">
        <v>728</v>
      </c>
    </row>
    <row r="477" spans="2:5" x14ac:dyDescent="0.3">
      <c r="B477" s="7">
        <v>45565</v>
      </c>
      <c r="C477" t="s">
        <v>21</v>
      </c>
      <c r="D477" t="s">
        <v>93</v>
      </c>
      <c r="E477">
        <v>652</v>
      </c>
    </row>
    <row r="478" spans="2:5" x14ac:dyDescent="0.3">
      <c r="B478" s="7">
        <v>45565</v>
      </c>
      <c r="C478" t="s">
        <v>21</v>
      </c>
      <c r="D478" t="s">
        <v>94</v>
      </c>
      <c r="E478">
        <v>506</v>
      </c>
    </row>
    <row r="479" spans="2:5" x14ac:dyDescent="0.3">
      <c r="B479" s="7">
        <v>45565</v>
      </c>
      <c r="C479" t="s">
        <v>21</v>
      </c>
      <c r="D479" t="s">
        <v>95</v>
      </c>
      <c r="E479">
        <v>544</v>
      </c>
    </row>
    <row r="480" spans="2:5" x14ac:dyDescent="0.3">
      <c r="B480" s="7">
        <v>45565</v>
      </c>
      <c r="C480" t="s">
        <v>21</v>
      </c>
      <c r="D480" t="s">
        <v>96</v>
      </c>
      <c r="E480">
        <v>368</v>
      </c>
    </row>
    <row r="481" spans="2:5" x14ac:dyDescent="0.3">
      <c r="B481" s="7">
        <v>45565</v>
      </c>
      <c r="C481" t="s">
        <v>21</v>
      </c>
      <c r="D481" t="s">
        <v>97</v>
      </c>
      <c r="E481">
        <v>368</v>
      </c>
    </row>
    <row r="482" spans="2:5" x14ac:dyDescent="0.3">
      <c r="B482" s="7">
        <v>45565</v>
      </c>
      <c r="C482" t="s">
        <v>21</v>
      </c>
      <c r="D482" t="s">
        <v>98</v>
      </c>
      <c r="E482">
        <v>276</v>
      </c>
    </row>
    <row r="483" spans="2:5" x14ac:dyDescent="0.3">
      <c r="B483" s="7">
        <v>45565</v>
      </c>
      <c r="C483" t="s">
        <v>21</v>
      </c>
      <c r="D483" t="s">
        <v>99</v>
      </c>
      <c r="E483">
        <v>322</v>
      </c>
    </row>
    <row r="484" spans="2:5" x14ac:dyDescent="0.3">
      <c r="B484" s="7">
        <v>45565</v>
      </c>
      <c r="C484" t="s">
        <v>21</v>
      </c>
      <c r="D484" t="s">
        <v>100</v>
      </c>
      <c r="E484">
        <v>376</v>
      </c>
    </row>
    <row r="485" spans="2:5" x14ac:dyDescent="0.3">
      <c r="B485" s="7">
        <v>45565</v>
      </c>
      <c r="C485" t="s">
        <v>21</v>
      </c>
      <c r="D485" t="s">
        <v>101</v>
      </c>
      <c r="E485">
        <v>230</v>
      </c>
    </row>
    <row r="486" spans="2:5" x14ac:dyDescent="0.3">
      <c r="B486" s="7">
        <v>45565</v>
      </c>
      <c r="C486" t="s">
        <v>21</v>
      </c>
      <c r="D486" t="s">
        <v>102</v>
      </c>
      <c r="E486">
        <v>230</v>
      </c>
    </row>
    <row r="487" spans="2:5" x14ac:dyDescent="0.3">
      <c r="B487" s="7">
        <v>45565</v>
      </c>
      <c r="C487" t="s">
        <v>26</v>
      </c>
      <c r="D487" t="s">
        <v>92</v>
      </c>
      <c r="E487">
        <v>5040</v>
      </c>
    </row>
    <row r="488" spans="2:5" x14ac:dyDescent="0.3">
      <c r="B488" s="7">
        <v>45565</v>
      </c>
      <c r="C488" t="s">
        <v>26</v>
      </c>
      <c r="D488" t="s">
        <v>93</v>
      </c>
      <c r="E488">
        <v>3360</v>
      </c>
    </row>
    <row r="489" spans="2:5" x14ac:dyDescent="0.3">
      <c r="B489" s="7">
        <v>45565</v>
      </c>
      <c r="C489" t="s">
        <v>26</v>
      </c>
      <c r="D489" t="s">
        <v>94</v>
      </c>
      <c r="E489">
        <v>3080</v>
      </c>
    </row>
    <row r="490" spans="2:5" x14ac:dyDescent="0.3">
      <c r="B490" s="7">
        <v>45565</v>
      </c>
      <c r="C490" t="s">
        <v>26</v>
      </c>
      <c r="D490" t="s">
        <v>95</v>
      </c>
      <c r="E490">
        <v>3920</v>
      </c>
    </row>
    <row r="491" spans="2:5" x14ac:dyDescent="0.3">
      <c r="B491" s="7">
        <v>45565</v>
      </c>
      <c r="C491" t="s">
        <v>26</v>
      </c>
      <c r="D491" t="s">
        <v>96</v>
      </c>
      <c r="E491">
        <v>2240</v>
      </c>
    </row>
    <row r="492" spans="2:5" x14ac:dyDescent="0.3">
      <c r="B492" s="7">
        <v>45565</v>
      </c>
      <c r="C492" t="s">
        <v>26</v>
      </c>
      <c r="D492" t="s">
        <v>97</v>
      </c>
      <c r="E492">
        <v>2240</v>
      </c>
    </row>
    <row r="493" spans="2:5" x14ac:dyDescent="0.3">
      <c r="B493" s="7">
        <v>45565</v>
      </c>
      <c r="C493" t="s">
        <v>26</v>
      </c>
      <c r="D493" t="s">
        <v>98</v>
      </c>
      <c r="E493">
        <v>1680</v>
      </c>
    </row>
    <row r="494" spans="2:5" x14ac:dyDescent="0.3">
      <c r="B494" s="7">
        <v>45565</v>
      </c>
      <c r="C494" t="s">
        <v>26</v>
      </c>
      <c r="D494" t="s">
        <v>99</v>
      </c>
      <c r="E494">
        <v>1960</v>
      </c>
    </row>
    <row r="495" spans="2:5" x14ac:dyDescent="0.3">
      <c r="B495" s="7">
        <v>45565</v>
      </c>
      <c r="C495" t="s">
        <v>26</v>
      </c>
      <c r="D495" t="s">
        <v>100</v>
      </c>
      <c r="E495">
        <v>1680</v>
      </c>
    </row>
    <row r="496" spans="2:5" x14ac:dyDescent="0.3">
      <c r="B496" s="7">
        <v>45565</v>
      </c>
      <c r="C496" t="s">
        <v>26</v>
      </c>
      <c r="D496" t="s">
        <v>101</v>
      </c>
      <c r="E496">
        <v>1400</v>
      </c>
    </row>
    <row r="497" spans="2:5" x14ac:dyDescent="0.3">
      <c r="B497" s="7">
        <v>45565</v>
      </c>
      <c r="C497" t="s">
        <v>26</v>
      </c>
      <c r="D497" t="s">
        <v>102</v>
      </c>
      <c r="E497">
        <v>1400</v>
      </c>
    </row>
    <row r="498" spans="2:5" x14ac:dyDescent="0.3">
      <c r="B498" s="7">
        <v>45596</v>
      </c>
      <c r="C498" t="s">
        <v>3</v>
      </c>
      <c r="D498" t="s">
        <v>92</v>
      </c>
      <c r="E498">
        <v>2142</v>
      </c>
    </row>
    <row r="499" spans="2:5" x14ac:dyDescent="0.3">
      <c r="B499" s="7">
        <v>45596</v>
      </c>
      <c r="C499" t="s">
        <v>3</v>
      </c>
      <c r="D499" t="s">
        <v>93</v>
      </c>
      <c r="E499">
        <v>1428</v>
      </c>
    </row>
    <row r="500" spans="2:5" x14ac:dyDescent="0.3">
      <c r="B500" s="7">
        <v>45596</v>
      </c>
      <c r="C500" t="s">
        <v>3</v>
      </c>
      <c r="D500" t="s">
        <v>94</v>
      </c>
      <c r="E500">
        <v>1309</v>
      </c>
    </row>
    <row r="501" spans="2:5" x14ac:dyDescent="0.3">
      <c r="B501" s="7">
        <v>45596</v>
      </c>
      <c r="C501" t="s">
        <v>3</v>
      </c>
      <c r="D501" t="s">
        <v>95</v>
      </c>
      <c r="E501">
        <v>1666</v>
      </c>
    </row>
    <row r="502" spans="2:5" x14ac:dyDescent="0.3">
      <c r="B502" s="7">
        <v>45596</v>
      </c>
      <c r="C502" t="s">
        <v>3</v>
      </c>
      <c r="D502" t="s">
        <v>96</v>
      </c>
      <c r="E502">
        <v>952</v>
      </c>
    </row>
    <row r="503" spans="2:5" x14ac:dyDescent="0.3">
      <c r="B503" s="7">
        <v>45596</v>
      </c>
      <c r="C503" t="s">
        <v>3</v>
      </c>
      <c r="D503" t="s">
        <v>97</v>
      </c>
      <c r="E503">
        <v>952</v>
      </c>
    </row>
    <row r="504" spans="2:5" x14ac:dyDescent="0.3">
      <c r="B504" s="7">
        <v>45596</v>
      </c>
      <c r="C504" t="s">
        <v>3</v>
      </c>
      <c r="D504" t="s">
        <v>98</v>
      </c>
      <c r="E504">
        <v>714</v>
      </c>
    </row>
    <row r="505" spans="2:5" x14ac:dyDescent="0.3">
      <c r="B505" s="7">
        <v>45596</v>
      </c>
      <c r="C505" t="s">
        <v>3</v>
      </c>
      <c r="D505" t="s">
        <v>99</v>
      </c>
      <c r="E505">
        <v>833</v>
      </c>
    </row>
    <row r="506" spans="2:5" x14ac:dyDescent="0.3">
      <c r="B506" s="7">
        <v>45596</v>
      </c>
      <c r="C506" t="s">
        <v>3</v>
      </c>
      <c r="D506" t="s">
        <v>100</v>
      </c>
      <c r="E506">
        <v>714</v>
      </c>
    </row>
    <row r="507" spans="2:5" x14ac:dyDescent="0.3">
      <c r="B507" s="7">
        <v>45596</v>
      </c>
      <c r="C507" t="s">
        <v>3</v>
      </c>
      <c r="D507" t="s">
        <v>101</v>
      </c>
      <c r="E507">
        <v>595</v>
      </c>
    </row>
    <row r="508" spans="2:5" x14ac:dyDescent="0.3">
      <c r="B508" s="7">
        <v>45596</v>
      </c>
      <c r="C508" t="s">
        <v>3</v>
      </c>
      <c r="D508" t="s">
        <v>102</v>
      </c>
      <c r="E508">
        <v>595</v>
      </c>
    </row>
    <row r="509" spans="2:5" x14ac:dyDescent="0.3">
      <c r="B509" s="7">
        <v>45596</v>
      </c>
      <c r="C509" t="s">
        <v>9</v>
      </c>
      <c r="D509" t="s">
        <v>92</v>
      </c>
      <c r="E509">
        <v>5275</v>
      </c>
    </row>
    <row r="510" spans="2:5" x14ac:dyDescent="0.3">
      <c r="B510" s="7">
        <v>45596</v>
      </c>
      <c r="C510" t="s">
        <v>9</v>
      </c>
      <c r="D510" t="s">
        <v>93</v>
      </c>
      <c r="E510">
        <v>3517</v>
      </c>
    </row>
    <row r="511" spans="2:5" x14ac:dyDescent="0.3">
      <c r="B511" s="7">
        <v>45596</v>
      </c>
      <c r="C511" t="s">
        <v>9</v>
      </c>
      <c r="D511" t="s">
        <v>94</v>
      </c>
      <c r="E511">
        <v>3224</v>
      </c>
    </row>
    <row r="512" spans="2:5" x14ac:dyDescent="0.3">
      <c r="B512" s="7">
        <v>45596</v>
      </c>
      <c r="C512" t="s">
        <v>9</v>
      </c>
      <c r="D512" t="s">
        <v>95</v>
      </c>
      <c r="E512">
        <v>4103</v>
      </c>
    </row>
    <row r="513" spans="2:5" x14ac:dyDescent="0.3">
      <c r="B513" s="7">
        <v>45596</v>
      </c>
      <c r="C513" t="s">
        <v>9</v>
      </c>
      <c r="D513" t="s">
        <v>96</v>
      </c>
      <c r="E513">
        <v>2345</v>
      </c>
    </row>
    <row r="514" spans="2:5" x14ac:dyDescent="0.3">
      <c r="B514" s="7">
        <v>45596</v>
      </c>
      <c r="C514" t="s">
        <v>9</v>
      </c>
      <c r="D514" t="s">
        <v>97</v>
      </c>
      <c r="E514">
        <v>2345</v>
      </c>
    </row>
    <row r="515" spans="2:5" x14ac:dyDescent="0.3">
      <c r="B515" s="7">
        <v>45596</v>
      </c>
      <c r="C515" t="s">
        <v>9</v>
      </c>
      <c r="D515" t="s">
        <v>98</v>
      </c>
      <c r="E515">
        <v>1758</v>
      </c>
    </row>
    <row r="516" spans="2:5" x14ac:dyDescent="0.3">
      <c r="B516" s="7">
        <v>45596</v>
      </c>
      <c r="C516" t="s">
        <v>9</v>
      </c>
      <c r="D516" t="s">
        <v>99</v>
      </c>
      <c r="E516">
        <v>2052</v>
      </c>
    </row>
    <row r="517" spans="2:5" x14ac:dyDescent="0.3">
      <c r="B517" s="7">
        <v>45596</v>
      </c>
      <c r="C517" t="s">
        <v>9</v>
      </c>
      <c r="D517" t="s">
        <v>100</v>
      </c>
      <c r="E517">
        <v>1758</v>
      </c>
    </row>
    <row r="518" spans="2:5" x14ac:dyDescent="0.3">
      <c r="B518" s="7">
        <v>45596</v>
      </c>
      <c r="C518" t="s">
        <v>9</v>
      </c>
      <c r="D518" t="s">
        <v>101</v>
      </c>
      <c r="E518">
        <v>1465</v>
      </c>
    </row>
    <row r="519" spans="2:5" x14ac:dyDescent="0.3">
      <c r="B519" s="7">
        <v>45596</v>
      </c>
      <c r="C519" t="s">
        <v>9</v>
      </c>
      <c r="D519" t="s">
        <v>102</v>
      </c>
      <c r="E519">
        <v>1465</v>
      </c>
    </row>
    <row r="520" spans="2:5" x14ac:dyDescent="0.3">
      <c r="B520" s="7">
        <v>45596</v>
      </c>
      <c r="C520" t="s">
        <v>69</v>
      </c>
      <c r="D520" t="s">
        <v>92</v>
      </c>
      <c r="E520">
        <v>7489</v>
      </c>
    </row>
    <row r="521" spans="2:5" x14ac:dyDescent="0.3">
      <c r="B521" s="7">
        <v>45596</v>
      </c>
      <c r="C521" t="s">
        <v>69</v>
      </c>
      <c r="D521" t="s">
        <v>93</v>
      </c>
      <c r="E521">
        <v>4993</v>
      </c>
    </row>
    <row r="522" spans="2:5" x14ac:dyDescent="0.3">
      <c r="B522" s="7">
        <v>45596</v>
      </c>
      <c r="C522" t="s">
        <v>69</v>
      </c>
      <c r="D522" t="s">
        <v>94</v>
      </c>
      <c r="E522">
        <v>4577</v>
      </c>
    </row>
    <row r="523" spans="2:5" x14ac:dyDescent="0.3">
      <c r="B523" s="7">
        <v>45596</v>
      </c>
      <c r="C523" t="s">
        <v>69</v>
      </c>
      <c r="D523" t="s">
        <v>95</v>
      </c>
      <c r="E523">
        <v>5825</v>
      </c>
    </row>
    <row r="524" spans="2:5" x14ac:dyDescent="0.3">
      <c r="B524" s="7">
        <v>45596</v>
      </c>
      <c r="C524" t="s">
        <v>69</v>
      </c>
      <c r="D524" t="s">
        <v>96</v>
      </c>
      <c r="E524">
        <v>3328</v>
      </c>
    </row>
    <row r="525" spans="2:5" x14ac:dyDescent="0.3">
      <c r="B525" s="7">
        <v>45596</v>
      </c>
      <c r="C525" t="s">
        <v>69</v>
      </c>
      <c r="D525" t="s">
        <v>97</v>
      </c>
      <c r="E525">
        <v>3328</v>
      </c>
    </row>
    <row r="526" spans="2:5" x14ac:dyDescent="0.3">
      <c r="B526" s="7">
        <v>45596</v>
      </c>
      <c r="C526" t="s">
        <v>69</v>
      </c>
      <c r="D526" t="s">
        <v>98</v>
      </c>
      <c r="E526">
        <v>2496</v>
      </c>
    </row>
    <row r="527" spans="2:5" x14ac:dyDescent="0.3">
      <c r="B527" s="7">
        <v>45596</v>
      </c>
      <c r="C527" t="s">
        <v>69</v>
      </c>
      <c r="D527" t="s">
        <v>99</v>
      </c>
      <c r="E527">
        <v>2912</v>
      </c>
    </row>
    <row r="528" spans="2:5" x14ac:dyDescent="0.3">
      <c r="B528" s="7">
        <v>45596</v>
      </c>
      <c r="C528" t="s">
        <v>69</v>
      </c>
      <c r="D528" t="s">
        <v>100</v>
      </c>
      <c r="E528">
        <v>2496</v>
      </c>
    </row>
    <row r="529" spans="2:5" x14ac:dyDescent="0.3">
      <c r="B529" s="7">
        <v>45596</v>
      </c>
      <c r="C529" t="s">
        <v>69</v>
      </c>
      <c r="D529" t="s">
        <v>101</v>
      </c>
      <c r="E529">
        <v>2080</v>
      </c>
    </row>
    <row r="530" spans="2:5" x14ac:dyDescent="0.3">
      <c r="B530" s="7">
        <v>45596</v>
      </c>
      <c r="C530" t="s">
        <v>69</v>
      </c>
      <c r="D530" t="s">
        <v>102</v>
      </c>
      <c r="E530">
        <v>2080</v>
      </c>
    </row>
    <row r="531" spans="2:5" x14ac:dyDescent="0.3">
      <c r="B531" s="7">
        <v>45596</v>
      </c>
      <c r="C531" t="s">
        <v>21</v>
      </c>
      <c r="D531" t="s">
        <v>92</v>
      </c>
      <c r="E531">
        <v>674</v>
      </c>
    </row>
    <row r="532" spans="2:5" x14ac:dyDescent="0.3">
      <c r="B532" s="7">
        <v>45596</v>
      </c>
      <c r="C532" t="s">
        <v>21</v>
      </c>
      <c r="D532" t="s">
        <v>93</v>
      </c>
      <c r="E532">
        <v>616</v>
      </c>
    </row>
    <row r="533" spans="2:5" x14ac:dyDescent="0.3">
      <c r="B533" s="7">
        <v>45596</v>
      </c>
      <c r="C533" t="s">
        <v>21</v>
      </c>
      <c r="D533" t="s">
        <v>94</v>
      </c>
      <c r="E533">
        <v>473</v>
      </c>
    </row>
    <row r="534" spans="2:5" x14ac:dyDescent="0.3">
      <c r="B534" s="7">
        <v>45596</v>
      </c>
      <c r="C534" t="s">
        <v>21</v>
      </c>
      <c r="D534" t="s">
        <v>95</v>
      </c>
      <c r="E534">
        <v>502</v>
      </c>
    </row>
    <row r="535" spans="2:5" x14ac:dyDescent="0.3">
      <c r="B535" s="7">
        <v>45596</v>
      </c>
      <c r="C535" t="s">
        <v>21</v>
      </c>
      <c r="D535" t="s">
        <v>96</v>
      </c>
      <c r="E535">
        <v>344</v>
      </c>
    </row>
    <row r="536" spans="2:5" x14ac:dyDescent="0.3">
      <c r="B536" s="7">
        <v>45596</v>
      </c>
      <c r="C536" t="s">
        <v>21</v>
      </c>
      <c r="D536" t="s">
        <v>97</v>
      </c>
      <c r="E536">
        <v>344</v>
      </c>
    </row>
    <row r="537" spans="2:5" x14ac:dyDescent="0.3">
      <c r="B537" s="7">
        <v>45596</v>
      </c>
      <c r="C537" t="s">
        <v>21</v>
      </c>
      <c r="D537" t="s">
        <v>98</v>
      </c>
      <c r="E537">
        <v>358</v>
      </c>
    </row>
    <row r="538" spans="2:5" x14ac:dyDescent="0.3">
      <c r="B538" s="7">
        <v>45596</v>
      </c>
      <c r="C538" t="s">
        <v>21</v>
      </c>
      <c r="D538" t="s">
        <v>99</v>
      </c>
      <c r="E538">
        <v>301</v>
      </c>
    </row>
    <row r="539" spans="2:5" x14ac:dyDescent="0.3">
      <c r="B539" s="7">
        <v>45596</v>
      </c>
      <c r="C539" t="s">
        <v>21</v>
      </c>
      <c r="D539" t="s">
        <v>100</v>
      </c>
      <c r="E539">
        <v>258</v>
      </c>
    </row>
    <row r="540" spans="2:5" x14ac:dyDescent="0.3">
      <c r="B540" s="7">
        <v>45596</v>
      </c>
      <c r="C540" t="s">
        <v>21</v>
      </c>
      <c r="D540" t="s">
        <v>101</v>
      </c>
      <c r="E540">
        <v>215</v>
      </c>
    </row>
    <row r="541" spans="2:5" x14ac:dyDescent="0.3">
      <c r="B541" s="7">
        <v>45596</v>
      </c>
      <c r="C541" t="s">
        <v>21</v>
      </c>
      <c r="D541" t="s">
        <v>102</v>
      </c>
      <c r="E541">
        <v>215</v>
      </c>
    </row>
    <row r="542" spans="2:5" x14ac:dyDescent="0.3">
      <c r="B542" s="7">
        <v>45596</v>
      </c>
      <c r="C542" t="s">
        <v>26</v>
      </c>
      <c r="D542" t="s">
        <v>92</v>
      </c>
      <c r="E542">
        <v>5115</v>
      </c>
    </row>
    <row r="543" spans="2:5" x14ac:dyDescent="0.3">
      <c r="B543" s="7">
        <v>45596</v>
      </c>
      <c r="C543" t="s">
        <v>26</v>
      </c>
      <c r="D543" t="s">
        <v>93</v>
      </c>
      <c r="E543">
        <v>3410</v>
      </c>
    </row>
    <row r="544" spans="2:5" x14ac:dyDescent="0.3">
      <c r="B544" s="7">
        <v>45596</v>
      </c>
      <c r="C544" t="s">
        <v>26</v>
      </c>
      <c r="D544" t="s">
        <v>94</v>
      </c>
      <c r="E544">
        <v>3126</v>
      </c>
    </row>
    <row r="545" spans="2:5" x14ac:dyDescent="0.3">
      <c r="B545" s="7">
        <v>45596</v>
      </c>
      <c r="C545" t="s">
        <v>26</v>
      </c>
      <c r="D545" t="s">
        <v>95</v>
      </c>
      <c r="E545">
        <v>3978</v>
      </c>
    </row>
    <row r="546" spans="2:5" x14ac:dyDescent="0.3">
      <c r="B546" s="7">
        <v>45596</v>
      </c>
      <c r="C546" t="s">
        <v>26</v>
      </c>
      <c r="D546" t="s">
        <v>96</v>
      </c>
      <c r="E546">
        <v>2273</v>
      </c>
    </row>
    <row r="547" spans="2:5" x14ac:dyDescent="0.3">
      <c r="B547" s="7">
        <v>45596</v>
      </c>
      <c r="C547" t="s">
        <v>26</v>
      </c>
      <c r="D547" t="s">
        <v>97</v>
      </c>
      <c r="E547">
        <v>2273</v>
      </c>
    </row>
    <row r="548" spans="2:5" x14ac:dyDescent="0.3">
      <c r="B548" s="7">
        <v>45596</v>
      </c>
      <c r="C548" t="s">
        <v>26</v>
      </c>
      <c r="D548" t="s">
        <v>98</v>
      </c>
      <c r="E548">
        <v>1705</v>
      </c>
    </row>
    <row r="549" spans="2:5" x14ac:dyDescent="0.3">
      <c r="B549" s="7">
        <v>45596</v>
      </c>
      <c r="C549" t="s">
        <v>26</v>
      </c>
      <c r="D549" t="s">
        <v>99</v>
      </c>
      <c r="E549">
        <v>1989</v>
      </c>
    </row>
    <row r="550" spans="2:5" x14ac:dyDescent="0.3">
      <c r="B550" s="7">
        <v>45596</v>
      </c>
      <c r="C550" t="s">
        <v>26</v>
      </c>
      <c r="D550" t="s">
        <v>100</v>
      </c>
      <c r="E550">
        <v>1705</v>
      </c>
    </row>
    <row r="551" spans="2:5" x14ac:dyDescent="0.3">
      <c r="B551" s="7">
        <v>45596</v>
      </c>
      <c r="C551" t="s">
        <v>26</v>
      </c>
      <c r="D551" t="s">
        <v>101</v>
      </c>
      <c r="E551">
        <v>1421</v>
      </c>
    </row>
    <row r="552" spans="2:5" x14ac:dyDescent="0.3">
      <c r="B552" s="7">
        <v>45596</v>
      </c>
      <c r="C552" t="s">
        <v>26</v>
      </c>
      <c r="D552" t="s">
        <v>102</v>
      </c>
      <c r="E552">
        <v>1421</v>
      </c>
    </row>
    <row r="553" spans="2:5" x14ac:dyDescent="0.3">
      <c r="B553" s="7">
        <v>45626</v>
      </c>
      <c r="C553" t="s">
        <v>3</v>
      </c>
      <c r="D553" t="s">
        <v>92</v>
      </c>
      <c r="E553">
        <v>1890</v>
      </c>
    </row>
    <row r="554" spans="2:5" x14ac:dyDescent="0.3">
      <c r="B554" s="7">
        <v>45626</v>
      </c>
      <c r="C554" t="s">
        <v>3</v>
      </c>
      <c r="D554" t="s">
        <v>93</v>
      </c>
      <c r="E554">
        <v>1260</v>
      </c>
    </row>
    <row r="555" spans="2:5" x14ac:dyDescent="0.3">
      <c r="B555" s="7">
        <v>45626</v>
      </c>
      <c r="C555" t="s">
        <v>3</v>
      </c>
      <c r="D555" t="s">
        <v>94</v>
      </c>
      <c r="E555">
        <v>1155</v>
      </c>
    </row>
    <row r="556" spans="2:5" x14ac:dyDescent="0.3">
      <c r="B556" s="7">
        <v>45626</v>
      </c>
      <c r="C556" t="s">
        <v>3</v>
      </c>
      <c r="D556" t="s">
        <v>95</v>
      </c>
      <c r="E556">
        <v>1470</v>
      </c>
    </row>
    <row r="557" spans="2:5" x14ac:dyDescent="0.3">
      <c r="B557" s="7">
        <v>45626</v>
      </c>
      <c r="C557" t="s">
        <v>3</v>
      </c>
      <c r="D557" t="s">
        <v>96</v>
      </c>
      <c r="E557">
        <v>840</v>
      </c>
    </row>
    <row r="558" spans="2:5" x14ac:dyDescent="0.3">
      <c r="B558" s="7">
        <v>45626</v>
      </c>
      <c r="C558" t="s">
        <v>3</v>
      </c>
      <c r="D558" t="s">
        <v>97</v>
      </c>
      <c r="E558">
        <v>840</v>
      </c>
    </row>
    <row r="559" spans="2:5" x14ac:dyDescent="0.3">
      <c r="B559" s="7">
        <v>45626</v>
      </c>
      <c r="C559" t="s">
        <v>3</v>
      </c>
      <c r="D559" t="s">
        <v>98</v>
      </c>
      <c r="E559">
        <v>630</v>
      </c>
    </row>
    <row r="560" spans="2:5" x14ac:dyDescent="0.3">
      <c r="B560" s="7">
        <v>45626</v>
      </c>
      <c r="C560" t="s">
        <v>3</v>
      </c>
      <c r="D560" t="s">
        <v>99</v>
      </c>
      <c r="E560">
        <v>735</v>
      </c>
    </row>
    <row r="561" spans="2:5" x14ac:dyDescent="0.3">
      <c r="B561" s="7">
        <v>45626</v>
      </c>
      <c r="C561" t="s">
        <v>3</v>
      </c>
      <c r="D561" t="s">
        <v>100</v>
      </c>
      <c r="E561">
        <v>630</v>
      </c>
    </row>
    <row r="562" spans="2:5" x14ac:dyDescent="0.3">
      <c r="B562" s="7">
        <v>45626</v>
      </c>
      <c r="C562" t="s">
        <v>3</v>
      </c>
      <c r="D562" t="s">
        <v>101</v>
      </c>
      <c r="E562">
        <v>525</v>
      </c>
    </row>
    <row r="563" spans="2:5" x14ac:dyDescent="0.3">
      <c r="B563" s="7">
        <v>45626</v>
      </c>
      <c r="C563" t="s">
        <v>3</v>
      </c>
      <c r="D563" t="s">
        <v>102</v>
      </c>
      <c r="E563">
        <v>525</v>
      </c>
    </row>
    <row r="564" spans="2:5" x14ac:dyDescent="0.3">
      <c r="B564" s="7">
        <v>45626</v>
      </c>
      <c r="C564" t="s">
        <v>9</v>
      </c>
      <c r="D564" t="s">
        <v>92</v>
      </c>
      <c r="E564">
        <v>3924</v>
      </c>
    </row>
    <row r="565" spans="2:5" x14ac:dyDescent="0.3">
      <c r="B565" s="7">
        <v>45626</v>
      </c>
      <c r="C565" t="s">
        <v>9</v>
      </c>
      <c r="D565" t="s">
        <v>93</v>
      </c>
      <c r="E565">
        <v>2616</v>
      </c>
    </row>
    <row r="566" spans="2:5" x14ac:dyDescent="0.3">
      <c r="B566" s="7">
        <v>45626</v>
      </c>
      <c r="C566" t="s">
        <v>9</v>
      </c>
      <c r="D566" t="s">
        <v>94</v>
      </c>
      <c r="E566">
        <v>2398</v>
      </c>
    </row>
    <row r="567" spans="2:5" x14ac:dyDescent="0.3">
      <c r="B567" s="7">
        <v>45626</v>
      </c>
      <c r="C567" t="s">
        <v>9</v>
      </c>
      <c r="D567" t="s">
        <v>95</v>
      </c>
      <c r="E567">
        <v>3052</v>
      </c>
    </row>
    <row r="568" spans="2:5" x14ac:dyDescent="0.3">
      <c r="B568" s="7">
        <v>45626</v>
      </c>
      <c r="C568" t="s">
        <v>9</v>
      </c>
      <c r="D568" t="s">
        <v>96</v>
      </c>
      <c r="E568">
        <v>1744</v>
      </c>
    </row>
    <row r="569" spans="2:5" x14ac:dyDescent="0.3">
      <c r="B569" s="7">
        <v>45626</v>
      </c>
      <c r="C569" t="s">
        <v>9</v>
      </c>
      <c r="D569" t="s">
        <v>97</v>
      </c>
      <c r="E569">
        <v>1744</v>
      </c>
    </row>
    <row r="570" spans="2:5" x14ac:dyDescent="0.3">
      <c r="B570" s="7">
        <v>45626</v>
      </c>
      <c r="C570" t="s">
        <v>9</v>
      </c>
      <c r="D570" t="s">
        <v>98</v>
      </c>
      <c r="E570">
        <v>1308</v>
      </c>
    </row>
    <row r="571" spans="2:5" x14ac:dyDescent="0.3">
      <c r="B571" s="7">
        <v>45626</v>
      </c>
      <c r="C571" t="s">
        <v>9</v>
      </c>
      <c r="D571" t="s">
        <v>99</v>
      </c>
      <c r="E571">
        <v>1526</v>
      </c>
    </row>
    <row r="572" spans="2:5" x14ac:dyDescent="0.3">
      <c r="B572" s="7">
        <v>45626</v>
      </c>
      <c r="C572" t="s">
        <v>9</v>
      </c>
      <c r="D572" t="s">
        <v>100</v>
      </c>
      <c r="E572">
        <v>1308</v>
      </c>
    </row>
    <row r="573" spans="2:5" x14ac:dyDescent="0.3">
      <c r="B573" s="7">
        <v>45626</v>
      </c>
      <c r="C573" t="s">
        <v>9</v>
      </c>
      <c r="D573" t="s">
        <v>101</v>
      </c>
      <c r="E573">
        <v>1090</v>
      </c>
    </row>
    <row r="574" spans="2:5" x14ac:dyDescent="0.3">
      <c r="B574" s="7">
        <v>45626</v>
      </c>
      <c r="C574" t="s">
        <v>9</v>
      </c>
      <c r="D574" t="s">
        <v>102</v>
      </c>
      <c r="E574">
        <v>1090</v>
      </c>
    </row>
    <row r="575" spans="2:5" x14ac:dyDescent="0.3">
      <c r="B575" s="7">
        <v>45626</v>
      </c>
      <c r="C575" t="s">
        <v>69</v>
      </c>
      <c r="D575" t="s">
        <v>92</v>
      </c>
      <c r="E575">
        <v>5400</v>
      </c>
    </row>
    <row r="576" spans="2:5" x14ac:dyDescent="0.3">
      <c r="B576" s="7">
        <v>45626</v>
      </c>
      <c r="C576" t="s">
        <v>69</v>
      </c>
      <c r="D576" t="s">
        <v>93</v>
      </c>
      <c r="E576">
        <v>3600</v>
      </c>
    </row>
    <row r="577" spans="2:5" x14ac:dyDescent="0.3">
      <c r="B577" s="7">
        <v>45626</v>
      </c>
      <c r="C577" t="s">
        <v>69</v>
      </c>
      <c r="D577" t="s">
        <v>94</v>
      </c>
      <c r="E577">
        <v>3300</v>
      </c>
    </row>
    <row r="578" spans="2:5" x14ac:dyDescent="0.3">
      <c r="B578" s="7">
        <v>45626</v>
      </c>
      <c r="C578" t="s">
        <v>69</v>
      </c>
      <c r="D578" t="s">
        <v>95</v>
      </c>
      <c r="E578">
        <v>4200</v>
      </c>
    </row>
    <row r="579" spans="2:5" x14ac:dyDescent="0.3">
      <c r="B579" s="7">
        <v>45626</v>
      </c>
      <c r="C579" t="s">
        <v>69</v>
      </c>
      <c r="D579" t="s">
        <v>96</v>
      </c>
      <c r="E579">
        <v>2400</v>
      </c>
    </row>
    <row r="580" spans="2:5" x14ac:dyDescent="0.3">
      <c r="B580" s="7">
        <v>45626</v>
      </c>
      <c r="C580" t="s">
        <v>69</v>
      </c>
      <c r="D580" t="s">
        <v>97</v>
      </c>
      <c r="E580">
        <v>2400</v>
      </c>
    </row>
    <row r="581" spans="2:5" x14ac:dyDescent="0.3">
      <c r="B581" s="7">
        <v>45626</v>
      </c>
      <c r="C581" t="s">
        <v>69</v>
      </c>
      <c r="D581" t="s">
        <v>98</v>
      </c>
      <c r="E581">
        <v>1800</v>
      </c>
    </row>
    <row r="582" spans="2:5" x14ac:dyDescent="0.3">
      <c r="B582" s="7">
        <v>45626</v>
      </c>
      <c r="C582" t="s">
        <v>69</v>
      </c>
      <c r="D582" t="s">
        <v>99</v>
      </c>
      <c r="E582">
        <v>2100</v>
      </c>
    </row>
    <row r="583" spans="2:5" x14ac:dyDescent="0.3">
      <c r="B583" s="7">
        <v>45626</v>
      </c>
      <c r="C583" t="s">
        <v>69</v>
      </c>
      <c r="D583" t="s">
        <v>100</v>
      </c>
      <c r="E583">
        <v>1800</v>
      </c>
    </row>
    <row r="584" spans="2:5" x14ac:dyDescent="0.3">
      <c r="B584" s="7">
        <v>45626</v>
      </c>
      <c r="C584" t="s">
        <v>69</v>
      </c>
      <c r="D584" t="s">
        <v>101</v>
      </c>
      <c r="E584">
        <v>1500</v>
      </c>
    </row>
    <row r="585" spans="2:5" x14ac:dyDescent="0.3">
      <c r="B585" s="7">
        <v>45626</v>
      </c>
      <c r="C585" t="s">
        <v>69</v>
      </c>
      <c r="D585" t="s">
        <v>102</v>
      </c>
      <c r="E585">
        <v>1500</v>
      </c>
    </row>
    <row r="586" spans="2:5" x14ac:dyDescent="0.3">
      <c r="B586" s="7">
        <v>45626</v>
      </c>
      <c r="C586" t="s">
        <v>21</v>
      </c>
      <c r="D586" t="s">
        <v>92</v>
      </c>
      <c r="E586">
        <v>522</v>
      </c>
    </row>
    <row r="587" spans="2:5" x14ac:dyDescent="0.3">
      <c r="B587" s="7">
        <v>45626</v>
      </c>
      <c r="C587" t="s">
        <v>21</v>
      </c>
      <c r="D587" t="s">
        <v>93</v>
      </c>
      <c r="E587">
        <v>348</v>
      </c>
    </row>
    <row r="588" spans="2:5" x14ac:dyDescent="0.3">
      <c r="B588" s="7">
        <v>45626</v>
      </c>
      <c r="C588" t="s">
        <v>21</v>
      </c>
      <c r="D588" t="s">
        <v>94</v>
      </c>
      <c r="E588">
        <v>319</v>
      </c>
    </row>
    <row r="589" spans="2:5" x14ac:dyDescent="0.3">
      <c r="B589" s="7">
        <v>45626</v>
      </c>
      <c r="C589" t="s">
        <v>21</v>
      </c>
      <c r="D589" t="s">
        <v>95</v>
      </c>
      <c r="E589">
        <v>406</v>
      </c>
    </row>
    <row r="590" spans="2:5" x14ac:dyDescent="0.3">
      <c r="B590" s="7">
        <v>45626</v>
      </c>
      <c r="C590" t="s">
        <v>21</v>
      </c>
      <c r="D590" t="s">
        <v>96</v>
      </c>
      <c r="E590">
        <v>232</v>
      </c>
    </row>
    <row r="591" spans="2:5" x14ac:dyDescent="0.3">
      <c r="B591" s="7">
        <v>45626</v>
      </c>
      <c r="C591" t="s">
        <v>21</v>
      </c>
      <c r="D591" t="s">
        <v>97</v>
      </c>
      <c r="E591">
        <v>232</v>
      </c>
    </row>
    <row r="592" spans="2:5" x14ac:dyDescent="0.3">
      <c r="B592" s="7">
        <v>45626</v>
      </c>
      <c r="C592" t="s">
        <v>21</v>
      </c>
      <c r="D592" t="s">
        <v>98</v>
      </c>
      <c r="E592">
        <v>174</v>
      </c>
    </row>
    <row r="593" spans="2:5" x14ac:dyDescent="0.3">
      <c r="B593" s="7">
        <v>45626</v>
      </c>
      <c r="C593" t="s">
        <v>21</v>
      </c>
      <c r="D593" t="s">
        <v>99</v>
      </c>
      <c r="E593">
        <v>203</v>
      </c>
    </row>
    <row r="594" spans="2:5" x14ac:dyDescent="0.3">
      <c r="B594" s="7">
        <v>45626</v>
      </c>
      <c r="C594" t="s">
        <v>21</v>
      </c>
      <c r="D594" t="s">
        <v>100</v>
      </c>
      <c r="E594">
        <v>174</v>
      </c>
    </row>
    <row r="595" spans="2:5" x14ac:dyDescent="0.3">
      <c r="B595" s="7">
        <v>45626</v>
      </c>
      <c r="C595" t="s">
        <v>21</v>
      </c>
      <c r="D595" t="s">
        <v>101</v>
      </c>
      <c r="E595">
        <v>145</v>
      </c>
    </row>
    <row r="596" spans="2:5" x14ac:dyDescent="0.3">
      <c r="B596" s="7">
        <v>45626</v>
      </c>
      <c r="C596" t="s">
        <v>21</v>
      </c>
      <c r="D596" t="s">
        <v>102</v>
      </c>
      <c r="E596">
        <v>145</v>
      </c>
    </row>
    <row r="597" spans="2:5" x14ac:dyDescent="0.3">
      <c r="B597" s="7">
        <v>45626</v>
      </c>
      <c r="C597" t="s">
        <v>26</v>
      </c>
      <c r="D597" t="s">
        <v>92</v>
      </c>
      <c r="E597">
        <v>4709</v>
      </c>
    </row>
    <row r="598" spans="2:5" x14ac:dyDescent="0.3">
      <c r="B598" s="7">
        <v>45626</v>
      </c>
      <c r="C598" t="s">
        <v>26</v>
      </c>
      <c r="D598" t="s">
        <v>93</v>
      </c>
      <c r="E598">
        <v>3140</v>
      </c>
    </row>
    <row r="599" spans="2:5" x14ac:dyDescent="0.3">
      <c r="B599" s="7">
        <v>45626</v>
      </c>
      <c r="C599" t="s">
        <v>26</v>
      </c>
      <c r="D599" t="s">
        <v>94</v>
      </c>
      <c r="E599">
        <v>2878</v>
      </c>
    </row>
    <row r="600" spans="2:5" x14ac:dyDescent="0.3">
      <c r="B600" s="7">
        <v>45626</v>
      </c>
      <c r="C600" t="s">
        <v>26</v>
      </c>
      <c r="D600" t="s">
        <v>95</v>
      </c>
      <c r="E600">
        <v>3663</v>
      </c>
    </row>
    <row r="601" spans="2:5" x14ac:dyDescent="0.3">
      <c r="B601" s="7">
        <v>45626</v>
      </c>
      <c r="C601" t="s">
        <v>26</v>
      </c>
      <c r="D601" t="s">
        <v>96</v>
      </c>
      <c r="E601">
        <v>2093</v>
      </c>
    </row>
    <row r="602" spans="2:5" x14ac:dyDescent="0.3">
      <c r="B602" s="7">
        <v>45626</v>
      </c>
      <c r="C602" t="s">
        <v>26</v>
      </c>
      <c r="D602" t="s">
        <v>97</v>
      </c>
      <c r="E602">
        <v>2093</v>
      </c>
    </row>
    <row r="603" spans="2:5" x14ac:dyDescent="0.3">
      <c r="B603" s="7">
        <v>45626</v>
      </c>
      <c r="C603" t="s">
        <v>26</v>
      </c>
      <c r="D603" t="s">
        <v>98</v>
      </c>
      <c r="E603">
        <v>1570</v>
      </c>
    </row>
    <row r="604" spans="2:5" x14ac:dyDescent="0.3">
      <c r="B604" s="7">
        <v>45626</v>
      </c>
      <c r="C604" t="s">
        <v>26</v>
      </c>
      <c r="D604" t="s">
        <v>99</v>
      </c>
      <c r="E604">
        <v>1831</v>
      </c>
    </row>
    <row r="605" spans="2:5" x14ac:dyDescent="0.3">
      <c r="B605" s="7">
        <v>45626</v>
      </c>
      <c r="C605" t="s">
        <v>26</v>
      </c>
      <c r="D605" t="s">
        <v>100</v>
      </c>
      <c r="E605">
        <v>1570</v>
      </c>
    </row>
    <row r="606" spans="2:5" x14ac:dyDescent="0.3">
      <c r="B606" s="7">
        <v>45626</v>
      </c>
      <c r="C606" t="s">
        <v>26</v>
      </c>
      <c r="D606" t="s">
        <v>101</v>
      </c>
      <c r="E606">
        <v>1308</v>
      </c>
    </row>
    <row r="607" spans="2:5" x14ac:dyDescent="0.3">
      <c r="B607" s="7">
        <v>45626</v>
      </c>
      <c r="C607" t="s">
        <v>26</v>
      </c>
      <c r="D607" t="s">
        <v>102</v>
      </c>
      <c r="E607">
        <v>1308</v>
      </c>
    </row>
    <row r="608" spans="2:5" x14ac:dyDescent="0.3">
      <c r="B608" s="7">
        <v>45657</v>
      </c>
      <c r="C608" t="s">
        <v>3</v>
      </c>
      <c r="D608" t="s">
        <v>92</v>
      </c>
      <c r="E608">
        <v>2013</v>
      </c>
    </row>
    <row r="609" spans="2:5" x14ac:dyDescent="0.3">
      <c r="B609" s="7">
        <v>45657</v>
      </c>
      <c r="C609" t="s">
        <v>3</v>
      </c>
      <c r="D609" t="s">
        <v>93</v>
      </c>
      <c r="E609">
        <v>1342</v>
      </c>
    </row>
    <row r="610" spans="2:5" x14ac:dyDescent="0.3">
      <c r="B610" s="7">
        <v>45657</v>
      </c>
      <c r="C610" t="s">
        <v>3</v>
      </c>
      <c r="D610" t="s">
        <v>94</v>
      </c>
      <c r="E610">
        <v>1230</v>
      </c>
    </row>
    <row r="611" spans="2:5" x14ac:dyDescent="0.3">
      <c r="B611" s="7">
        <v>45657</v>
      </c>
      <c r="C611" t="s">
        <v>3</v>
      </c>
      <c r="D611" t="s">
        <v>95</v>
      </c>
      <c r="E611">
        <v>1566</v>
      </c>
    </row>
    <row r="612" spans="2:5" x14ac:dyDescent="0.3">
      <c r="B612" s="7">
        <v>45657</v>
      </c>
      <c r="C612" t="s">
        <v>3</v>
      </c>
      <c r="D612" t="s">
        <v>96</v>
      </c>
      <c r="E612">
        <v>895</v>
      </c>
    </row>
    <row r="613" spans="2:5" x14ac:dyDescent="0.3">
      <c r="B613" s="7">
        <v>45657</v>
      </c>
      <c r="C613" t="s">
        <v>3</v>
      </c>
      <c r="D613" t="s">
        <v>97</v>
      </c>
      <c r="E613">
        <v>895</v>
      </c>
    </row>
    <row r="614" spans="2:5" x14ac:dyDescent="0.3">
      <c r="B614" s="7">
        <v>45657</v>
      </c>
      <c r="C614" t="s">
        <v>3</v>
      </c>
      <c r="D614" t="s">
        <v>98</v>
      </c>
      <c r="E614">
        <v>671</v>
      </c>
    </row>
    <row r="615" spans="2:5" x14ac:dyDescent="0.3">
      <c r="B615" s="7">
        <v>45657</v>
      </c>
      <c r="C615" t="s">
        <v>3</v>
      </c>
      <c r="D615" t="s">
        <v>99</v>
      </c>
      <c r="E615">
        <v>783</v>
      </c>
    </row>
    <row r="616" spans="2:5" x14ac:dyDescent="0.3">
      <c r="B616" s="7">
        <v>45657</v>
      </c>
      <c r="C616" t="s">
        <v>3</v>
      </c>
      <c r="D616" t="s">
        <v>100</v>
      </c>
      <c r="E616">
        <v>671</v>
      </c>
    </row>
    <row r="617" spans="2:5" x14ac:dyDescent="0.3">
      <c r="B617" s="7">
        <v>45657</v>
      </c>
      <c r="C617" t="s">
        <v>3</v>
      </c>
      <c r="D617" t="s">
        <v>101</v>
      </c>
      <c r="E617">
        <v>559</v>
      </c>
    </row>
    <row r="618" spans="2:5" x14ac:dyDescent="0.3">
      <c r="B618" s="7">
        <v>45657</v>
      </c>
      <c r="C618" t="s">
        <v>3</v>
      </c>
      <c r="D618" t="s">
        <v>102</v>
      </c>
      <c r="E618">
        <v>559</v>
      </c>
    </row>
    <row r="619" spans="2:5" x14ac:dyDescent="0.3">
      <c r="B619" s="7">
        <v>45657</v>
      </c>
      <c r="C619" t="s">
        <v>9</v>
      </c>
      <c r="D619" t="s">
        <v>92</v>
      </c>
      <c r="E619">
        <v>3631</v>
      </c>
    </row>
    <row r="620" spans="2:5" x14ac:dyDescent="0.3">
      <c r="B620" s="7">
        <v>45657</v>
      </c>
      <c r="C620" t="s">
        <v>9</v>
      </c>
      <c r="D620" t="s">
        <v>93</v>
      </c>
      <c r="E620">
        <v>2421</v>
      </c>
    </row>
    <row r="621" spans="2:5" x14ac:dyDescent="0.3">
      <c r="B621" s="7">
        <v>45657</v>
      </c>
      <c r="C621" t="s">
        <v>9</v>
      </c>
      <c r="D621" t="s">
        <v>94</v>
      </c>
      <c r="E621">
        <v>2219</v>
      </c>
    </row>
    <row r="622" spans="2:5" x14ac:dyDescent="0.3">
      <c r="B622" s="7">
        <v>45657</v>
      </c>
      <c r="C622" t="s">
        <v>9</v>
      </c>
      <c r="D622" t="s">
        <v>95</v>
      </c>
      <c r="E622">
        <v>2824</v>
      </c>
    </row>
    <row r="623" spans="2:5" x14ac:dyDescent="0.3">
      <c r="B623" s="7">
        <v>45657</v>
      </c>
      <c r="C623" t="s">
        <v>9</v>
      </c>
      <c r="D623" t="s">
        <v>96</v>
      </c>
      <c r="E623">
        <v>1614</v>
      </c>
    </row>
    <row r="624" spans="2:5" x14ac:dyDescent="0.3">
      <c r="B624" s="7">
        <v>45657</v>
      </c>
      <c r="C624" t="s">
        <v>9</v>
      </c>
      <c r="D624" t="s">
        <v>97</v>
      </c>
      <c r="E624">
        <v>1614</v>
      </c>
    </row>
    <row r="625" spans="2:5" x14ac:dyDescent="0.3">
      <c r="B625" s="7">
        <v>45657</v>
      </c>
      <c r="C625" t="s">
        <v>9</v>
      </c>
      <c r="D625" t="s">
        <v>98</v>
      </c>
      <c r="E625">
        <v>1210</v>
      </c>
    </row>
    <row r="626" spans="2:5" x14ac:dyDescent="0.3">
      <c r="B626" s="7">
        <v>45657</v>
      </c>
      <c r="C626" t="s">
        <v>9</v>
      </c>
      <c r="D626" t="s">
        <v>99</v>
      </c>
      <c r="E626">
        <v>1412</v>
      </c>
    </row>
    <row r="627" spans="2:5" x14ac:dyDescent="0.3">
      <c r="B627" s="7">
        <v>45657</v>
      </c>
      <c r="C627" t="s">
        <v>9</v>
      </c>
      <c r="D627" t="s">
        <v>100</v>
      </c>
      <c r="E627">
        <v>1210</v>
      </c>
    </row>
    <row r="628" spans="2:5" x14ac:dyDescent="0.3">
      <c r="B628" s="7">
        <v>45657</v>
      </c>
      <c r="C628" t="s">
        <v>9</v>
      </c>
      <c r="D628" t="s">
        <v>101</v>
      </c>
      <c r="E628">
        <v>1009</v>
      </c>
    </row>
    <row r="629" spans="2:5" x14ac:dyDescent="0.3">
      <c r="B629" s="7">
        <v>45657</v>
      </c>
      <c r="C629" t="s">
        <v>9</v>
      </c>
      <c r="D629" t="s">
        <v>102</v>
      </c>
      <c r="E629">
        <v>1009</v>
      </c>
    </row>
    <row r="630" spans="2:5" x14ac:dyDescent="0.3">
      <c r="B630" s="7">
        <v>45657</v>
      </c>
      <c r="C630" t="s">
        <v>69</v>
      </c>
      <c r="D630" t="s">
        <v>92</v>
      </c>
      <c r="E630">
        <v>2483</v>
      </c>
    </row>
    <row r="631" spans="2:5" x14ac:dyDescent="0.3">
      <c r="B631" s="7">
        <v>45657</v>
      </c>
      <c r="C631" t="s">
        <v>69</v>
      </c>
      <c r="D631" t="s">
        <v>93</v>
      </c>
      <c r="E631">
        <v>1655</v>
      </c>
    </row>
    <row r="632" spans="2:5" x14ac:dyDescent="0.3">
      <c r="B632" s="7">
        <v>45657</v>
      </c>
      <c r="C632" t="s">
        <v>69</v>
      </c>
      <c r="D632" t="s">
        <v>94</v>
      </c>
      <c r="E632">
        <v>1517</v>
      </c>
    </row>
    <row r="633" spans="2:5" x14ac:dyDescent="0.3">
      <c r="B633" s="7">
        <v>45657</v>
      </c>
      <c r="C633" t="s">
        <v>69</v>
      </c>
      <c r="D633" t="s">
        <v>95</v>
      </c>
      <c r="E633">
        <v>1931</v>
      </c>
    </row>
    <row r="634" spans="2:5" x14ac:dyDescent="0.3">
      <c r="B634" s="7">
        <v>45657</v>
      </c>
      <c r="C634" t="s">
        <v>69</v>
      </c>
      <c r="D634" t="s">
        <v>96</v>
      </c>
      <c r="E634">
        <v>1104</v>
      </c>
    </row>
    <row r="635" spans="2:5" x14ac:dyDescent="0.3">
      <c r="B635" s="7">
        <v>45657</v>
      </c>
      <c r="C635" t="s">
        <v>69</v>
      </c>
      <c r="D635" t="s">
        <v>97</v>
      </c>
      <c r="E635">
        <v>1104</v>
      </c>
    </row>
    <row r="636" spans="2:5" x14ac:dyDescent="0.3">
      <c r="B636" s="7">
        <v>45657</v>
      </c>
      <c r="C636" t="s">
        <v>69</v>
      </c>
      <c r="D636" t="s">
        <v>98</v>
      </c>
      <c r="E636">
        <v>828</v>
      </c>
    </row>
    <row r="637" spans="2:5" x14ac:dyDescent="0.3">
      <c r="B637" s="7">
        <v>45657</v>
      </c>
      <c r="C637" t="s">
        <v>69</v>
      </c>
      <c r="D637" t="s">
        <v>99</v>
      </c>
      <c r="E637">
        <v>966</v>
      </c>
    </row>
    <row r="638" spans="2:5" x14ac:dyDescent="0.3">
      <c r="B638" s="7">
        <v>45657</v>
      </c>
      <c r="C638" t="s">
        <v>69</v>
      </c>
      <c r="D638" t="s">
        <v>100</v>
      </c>
      <c r="E638">
        <v>828</v>
      </c>
    </row>
    <row r="639" spans="2:5" x14ac:dyDescent="0.3">
      <c r="B639" s="7">
        <v>45657</v>
      </c>
      <c r="C639" t="s">
        <v>69</v>
      </c>
      <c r="D639" t="s">
        <v>101</v>
      </c>
      <c r="E639">
        <v>690</v>
      </c>
    </row>
    <row r="640" spans="2:5" x14ac:dyDescent="0.3">
      <c r="B640" s="7">
        <v>45657</v>
      </c>
      <c r="C640" t="s">
        <v>69</v>
      </c>
      <c r="D640" t="s">
        <v>102</v>
      </c>
      <c r="E640">
        <v>690</v>
      </c>
    </row>
    <row r="641" spans="2:5" x14ac:dyDescent="0.3">
      <c r="B641" s="7">
        <v>45657</v>
      </c>
      <c r="C641" t="s">
        <v>21</v>
      </c>
      <c r="D641" t="s">
        <v>92</v>
      </c>
      <c r="E641">
        <v>266</v>
      </c>
    </row>
    <row r="642" spans="2:5" x14ac:dyDescent="0.3">
      <c r="B642" s="7">
        <v>45657</v>
      </c>
      <c r="C642" t="s">
        <v>21</v>
      </c>
      <c r="D642" t="s">
        <v>93</v>
      </c>
      <c r="E642">
        <v>277</v>
      </c>
    </row>
    <row r="643" spans="2:5" x14ac:dyDescent="0.3">
      <c r="B643" s="7">
        <v>45657</v>
      </c>
      <c r="C643" t="s">
        <v>21</v>
      </c>
      <c r="D643" t="s">
        <v>94</v>
      </c>
      <c r="E643">
        <v>162</v>
      </c>
    </row>
    <row r="644" spans="2:5" x14ac:dyDescent="0.3">
      <c r="B644" s="7">
        <v>45657</v>
      </c>
      <c r="C644" t="s">
        <v>21</v>
      </c>
      <c r="D644" t="s">
        <v>95</v>
      </c>
      <c r="E644">
        <v>107</v>
      </c>
    </row>
    <row r="645" spans="2:5" x14ac:dyDescent="0.3">
      <c r="B645" s="7">
        <v>45657</v>
      </c>
      <c r="C645" t="s">
        <v>21</v>
      </c>
      <c r="D645" t="s">
        <v>96</v>
      </c>
      <c r="E645">
        <v>118</v>
      </c>
    </row>
    <row r="646" spans="2:5" x14ac:dyDescent="0.3">
      <c r="B646" s="7">
        <v>45657</v>
      </c>
      <c r="C646" t="s">
        <v>21</v>
      </c>
      <c r="D646" t="s">
        <v>97</v>
      </c>
      <c r="E646">
        <v>118</v>
      </c>
    </row>
    <row r="647" spans="2:5" x14ac:dyDescent="0.3">
      <c r="B647" s="7">
        <v>45657</v>
      </c>
      <c r="C647" t="s">
        <v>21</v>
      </c>
      <c r="D647" t="s">
        <v>98</v>
      </c>
      <c r="E647">
        <v>89</v>
      </c>
    </row>
    <row r="648" spans="2:5" x14ac:dyDescent="0.3">
      <c r="B648" s="7">
        <v>45657</v>
      </c>
      <c r="C648" t="s">
        <v>21</v>
      </c>
      <c r="D648" t="s">
        <v>99</v>
      </c>
      <c r="E648">
        <v>103</v>
      </c>
    </row>
    <row r="649" spans="2:5" x14ac:dyDescent="0.3">
      <c r="B649" s="7">
        <v>45657</v>
      </c>
      <c r="C649" t="s">
        <v>21</v>
      </c>
      <c r="D649" t="s">
        <v>100</v>
      </c>
      <c r="E649">
        <v>89</v>
      </c>
    </row>
    <row r="650" spans="2:5" x14ac:dyDescent="0.3">
      <c r="B650" s="7">
        <v>45657</v>
      </c>
      <c r="C650" t="s">
        <v>21</v>
      </c>
      <c r="D650" t="s">
        <v>101</v>
      </c>
      <c r="E650">
        <v>74</v>
      </c>
    </row>
    <row r="651" spans="2:5" x14ac:dyDescent="0.3">
      <c r="B651" s="7">
        <v>45657</v>
      </c>
      <c r="C651" t="s">
        <v>21</v>
      </c>
      <c r="D651" t="s">
        <v>102</v>
      </c>
      <c r="E651">
        <v>74</v>
      </c>
    </row>
    <row r="652" spans="2:5" x14ac:dyDescent="0.3">
      <c r="B652" s="7">
        <v>45657</v>
      </c>
      <c r="C652" t="s">
        <v>26</v>
      </c>
      <c r="D652" t="s">
        <v>92</v>
      </c>
      <c r="E652">
        <v>3960</v>
      </c>
    </row>
    <row r="653" spans="2:5" x14ac:dyDescent="0.3">
      <c r="B653" s="7">
        <v>45657</v>
      </c>
      <c r="C653" t="s">
        <v>26</v>
      </c>
      <c r="D653" t="s">
        <v>93</v>
      </c>
      <c r="E653">
        <v>2640</v>
      </c>
    </row>
    <row r="654" spans="2:5" x14ac:dyDescent="0.3">
      <c r="B654" s="7">
        <v>45657</v>
      </c>
      <c r="C654" t="s">
        <v>26</v>
      </c>
      <c r="D654" t="s">
        <v>94</v>
      </c>
      <c r="E654">
        <v>2420</v>
      </c>
    </row>
    <row r="655" spans="2:5" x14ac:dyDescent="0.3">
      <c r="B655" s="7">
        <v>45657</v>
      </c>
      <c r="C655" t="s">
        <v>26</v>
      </c>
      <c r="D655" t="s">
        <v>95</v>
      </c>
      <c r="E655">
        <v>3080</v>
      </c>
    </row>
    <row r="656" spans="2:5" x14ac:dyDescent="0.3">
      <c r="B656" s="7">
        <v>45657</v>
      </c>
      <c r="C656" t="s">
        <v>26</v>
      </c>
      <c r="D656" t="s">
        <v>96</v>
      </c>
      <c r="E656">
        <v>1760</v>
      </c>
    </row>
    <row r="657" spans="2:5" x14ac:dyDescent="0.3">
      <c r="B657" s="7">
        <v>45657</v>
      </c>
      <c r="C657" t="s">
        <v>26</v>
      </c>
      <c r="D657" t="s">
        <v>97</v>
      </c>
      <c r="E657">
        <v>1760</v>
      </c>
    </row>
    <row r="658" spans="2:5" x14ac:dyDescent="0.3">
      <c r="B658" s="7">
        <v>45657</v>
      </c>
      <c r="C658" t="s">
        <v>26</v>
      </c>
      <c r="D658" t="s">
        <v>98</v>
      </c>
      <c r="E658">
        <v>1320</v>
      </c>
    </row>
    <row r="659" spans="2:5" x14ac:dyDescent="0.3">
      <c r="B659" s="7">
        <v>45657</v>
      </c>
      <c r="C659" t="s">
        <v>26</v>
      </c>
      <c r="D659" t="s">
        <v>99</v>
      </c>
      <c r="E659">
        <v>1540</v>
      </c>
    </row>
    <row r="660" spans="2:5" x14ac:dyDescent="0.3">
      <c r="B660" s="7">
        <v>45657</v>
      </c>
      <c r="C660" t="s">
        <v>26</v>
      </c>
      <c r="D660" t="s">
        <v>100</v>
      </c>
      <c r="E660">
        <v>1320</v>
      </c>
    </row>
    <row r="661" spans="2:5" x14ac:dyDescent="0.3">
      <c r="B661" s="7">
        <v>45657</v>
      </c>
      <c r="C661" t="s">
        <v>26</v>
      </c>
      <c r="D661" t="s">
        <v>101</v>
      </c>
      <c r="E661">
        <v>1100</v>
      </c>
    </row>
    <row r="662" spans="2:5" x14ac:dyDescent="0.3">
      <c r="B662" s="7">
        <v>45657</v>
      </c>
      <c r="C662" t="s">
        <v>26</v>
      </c>
      <c r="D662" t="s">
        <v>102</v>
      </c>
      <c r="E662">
        <v>1100</v>
      </c>
    </row>
    <row r="663" spans="2:5" x14ac:dyDescent="0.3">
      <c r="B663" s="7">
        <v>45688</v>
      </c>
      <c r="C663" t="s">
        <v>3</v>
      </c>
      <c r="D663" t="s">
        <v>92</v>
      </c>
      <c r="E663">
        <v>2321</v>
      </c>
    </row>
    <row r="664" spans="2:5" x14ac:dyDescent="0.3">
      <c r="B664" s="7">
        <v>45688</v>
      </c>
      <c r="C664" t="s">
        <v>3</v>
      </c>
      <c r="D664" t="s">
        <v>93</v>
      </c>
      <c r="E664">
        <v>1547</v>
      </c>
    </row>
    <row r="665" spans="2:5" x14ac:dyDescent="0.3">
      <c r="B665" s="7">
        <v>45688</v>
      </c>
      <c r="C665" t="s">
        <v>3</v>
      </c>
      <c r="D665" t="s">
        <v>94</v>
      </c>
      <c r="E665">
        <v>1418</v>
      </c>
    </row>
    <row r="666" spans="2:5" x14ac:dyDescent="0.3">
      <c r="B666" s="7">
        <v>45688</v>
      </c>
      <c r="C666" t="s">
        <v>3</v>
      </c>
      <c r="D666" t="s">
        <v>95</v>
      </c>
      <c r="E666">
        <v>1805</v>
      </c>
    </row>
    <row r="667" spans="2:5" x14ac:dyDescent="0.3">
      <c r="B667" s="7">
        <v>45688</v>
      </c>
      <c r="C667" t="s">
        <v>3</v>
      </c>
      <c r="D667" t="s">
        <v>96</v>
      </c>
      <c r="E667">
        <v>1032</v>
      </c>
    </row>
    <row r="668" spans="2:5" x14ac:dyDescent="0.3">
      <c r="B668" s="7">
        <v>45688</v>
      </c>
      <c r="C668" t="s">
        <v>3</v>
      </c>
      <c r="D668" t="s">
        <v>97</v>
      </c>
      <c r="E668">
        <v>1032</v>
      </c>
    </row>
    <row r="669" spans="2:5" x14ac:dyDescent="0.3">
      <c r="B669" s="7">
        <v>45688</v>
      </c>
      <c r="C669" t="s">
        <v>3</v>
      </c>
      <c r="D669" t="s">
        <v>98</v>
      </c>
      <c r="E669">
        <v>774</v>
      </c>
    </row>
    <row r="670" spans="2:5" x14ac:dyDescent="0.3">
      <c r="B670" s="7">
        <v>45688</v>
      </c>
      <c r="C670" t="s">
        <v>3</v>
      </c>
      <c r="D670" t="s">
        <v>99</v>
      </c>
      <c r="E670">
        <v>903</v>
      </c>
    </row>
    <row r="671" spans="2:5" x14ac:dyDescent="0.3">
      <c r="B671" s="7">
        <v>45688</v>
      </c>
      <c r="C671" t="s">
        <v>3</v>
      </c>
      <c r="D671" t="s">
        <v>100</v>
      </c>
      <c r="E671">
        <v>774</v>
      </c>
    </row>
    <row r="672" spans="2:5" x14ac:dyDescent="0.3">
      <c r="B672" s="7">
        <v>45688</v>
      </c>
      <c r="C672" t="s">
        <v>3</v>
      </c>
      <c r="D672" t="s">
        <v>101</v>
      </c>
      <c r="E672">
        <v>645</v>
      </c>
    </row>
    <row r="673" spans="2:5" x14ac:dyDescent="0.3">
      <c r="B673" s="7">
        <v>45688</v>
      </c>
      <c r="C673" t="s">
        <v>3</v>
      </c>
      <c r="D673" t="s">
        <v>102</v>
      </c>
      <c r="E673">
        <v>645</v>
      </c>
    </row>
    <row r="674" spans="2:5" x14ac:dyDescent="0.3">
      <c r="B674" s="7">
        <v>45688</v>
      </c>
      <c r="C674" t="s">
        <v>9</v>
      </c>
      <c r="D674" t="s">
        <v>92</v>
      </c>
      <c r="E674">
        <v>3942</v>
      </c>
    </row>
    <row r="675" spans="2:5" x14ac:dyDescent="0.3">
      <c r="B675" s="7">
        <v>45688</v>
      </c>
      <c r="C675" t="s">
        <v>9</v>
      </c>
      <c r="D675" t="s">
        <v>93</v>
      </c>
      <c r="E675">
        <v>2628</v>
      </c>
    </row>
    <row r="676" spans="2:5" x14ac:dyDescent="0.3">
      <c r="B676" s="7">
        <v>45688</v>
      </c>
      <c r="C676" t="s">
        <v>9</v>
      </c>
      <c r="D676" t="s">
        <v>94</v>
      </c>
      <c r="E676">
        <v>2409</v>
      </c>
    </row>
    <row r="677" spans="2:5" x14ac:dyDescent="0.3">
      <c r="B677" s="7">
        <v>45688</v>
      </c>
      <c r="C677" t="s">
        <v>9</v>
      </c>
      <c r="D677" t="s">
        <v>95</v>
      </c>
      <c r="E677">
        <v>3066</v>
      </c>
    </row>
    <row r="678" spans="2:5" x14ac:dyDescent="0.3">
      <c r="B678" s="7">
        <v>45688</v>
      </c>
      <c r="C678" t="s">
        <v>9</v>
      </c>
      <c r="D678" t="s">
        <v>96</v>
      </c>
      <c r="E678">
        <v>1752</v>
      </c>
    </row>
    <row r="679" spans="2:5" x14ac:dyDescent="0.3">
      <c r="B679" s="7">
        <v>45688</v>
      </c>
      <c r="C679" t="s">
        <v>9</v>
      </c>
      <c r="D679" t="s">
        <v>97</v>
      </c>
      <c r="E679">
        <v>1752</v>
      </c>
    </row>
    <row r="680" spans="2:5" x14ac:dyDescent="0.3">
      <c r="B680" s="7">
        <v>45688</v>
      </c>
      <c r="C680" t="s">
        <v>9</v>
      </c>
      <c r="D680" t="s">
        <v>98</v>
      </c>
      <c r="E680">
        <v>1314</v>
      </c>
    </row>
    <row r="681" spans="2:5" x14ac:dyDescent="0.3">
      <c r="B681" s="7">
        <v>45688</v>
      </c>
      <c r="C681" t="s">
        <v>9</v>
      </c>
      <c r="D681" t="s">
        <v>99</v>
      </c>
      <c r="E681">
        <v>1533</v>
      </c>
    </row>
    <row r="682" spans="2:5" x14ac:dyDescent="0.3">
      <c r="B682" s="7">
        <v>45688</v>
      </c>
      <c r="C682" t="s">
        <v>9</v>
      </c>
      <c r="D682" t="s">
        <v>100</v>
      </c>
      <c r="E682">
        <v>1314</v>
      </c>
    </row>
    <row r="683" spans="2:5" x14ac:dyDescent="0.3">
      <c r="B683" s="7">
        <v>45688</v>
      </c>
      <c r="C683" t="s">
        <v>9</v>
      </c>
      <c r="D683" t="s">
        <v>101</v>
      </c>
      <c r="E683">
        <v>1095</v>
      </c>
    </row>
    <row r="684" spans="2:5" x14ac:dyDescent="0.3">
      <c r="B684" s="7">
        <v>45688</v>
      </c>
      <c r="C684" t="s">
        <v>9</v>
      </c>
      <c r="D684" t="s">
        <v>102</v>
      </c>
      <c r="E684">
        <v>1095</v>
      </c>
    </row>
    <row r="685" spans="2:5" x14ac:dyDescent="0.3">
      <c r="B685" s="7">
        <v>45688</v>
      </c>
      <c r="C685" t="s">
        <v>69</v>
      </c>
      <c r="D685" t="s">
        <v>92</v>
      </c>
      <c r="E685">
        <v>4379</v>
      </c>
    </row>
    <row r="686" spans="2:5" x14ac:dyDescent="0.3">
      <c r="B686" s="7">
        <v>45688</v>
      </c>
      <c r="C686" t="s">
        <v>69</v>
      </c>
      <c r="D686" t="s">
        <v>93</v>
      </c>
      <c r="E686">
        <v>2920</v>
      </c>
    </row>
    <row r="687" spans="2:5" x14ac:dyDescent="0.3">
      <c r="B687" s="7">
        <v>45688</v>
      </c>
      <c r="C687" t="s">
        <v>69</v>
      </c>
      <c r="D687" t="s">
        <v>94</v>
      </c>
      <c r="E687">
        <v>2676</v>
      </c>
    </row>
    <row r="688" spans="2:5" x14ac:dyDescent="0.3">
      <c r="B688" s="7">
        <v>45688</v>
      </c>
      <c r="C688" t="s">
        <v>69</v>
      </c>
      <c r="D688" t="s">
        <v>95</v>
      </c>
      <c r="E688">
        <v>3406</v>
      </c>
    </row>
    <row r="689" spans="2:5" x14ac:dyDescent="0.3">
      <c r="B689" s="7">
        <v>45688</v>
      </c>
      <c r="C689" t="s">
        <v>69</v>
      </c>
      <c r="D689" t="s">
        <v>96</v>
      </c>
      <c r="E689">
        <v>1946</v>
      </c>
    </row>
    <row r="690" spans="2:5" x14ac:dyDescent="0.3">
      <c r="B690" s="7">
        <v>45688</v>
      </c>
      <c r="C690" t="s">
        <v>69</v>
      </c>
      <c r="D690" t="s">
        <v>97</v>
      </c>
      <c r="E690">
        <v>1946</v>
      </c>
    </row>
    <row r="691" spans="2:5" x14ac:dyDescent="0.3">
      <c r="B691" s="7">
        <v>45688</v>
      </c>
      <c r="C691" t="s">
        <v>69</v>
      </c>
      <c r="D691" t="s">
        <v>98</v>
      </c>
      <c r="E691">
        <v>1460</v>
      </c>
    </row>
    <row r="692" spans="2:5" x14ac:dyDescent="0.3">
      <c r="B692" s="7">
        <v>45688</v>
      </c>
      <c r="C692" t="s">
        <v>69</v>
      </c>
      <c r="D692" t="s">
        <v>99</v>
      </c>
      <c r="E692">
        <v>1703</v>
      </c>
    </row>
    <row r="693" spans="2:5" x14ac:dyDescent="0.3">
      <c r="B693" s="7">
        <v>45688</v>
      </c>
      <c r="C693" t="s">
        <v>69</v>
      </c>
      <c r="D693" t="s">
        <v>100</v>
      </c>
      <c r="E693">
        <v>1460</v>
      </c>
    </row>
    <row r="694" spans="2:5" x14ac:dyDescent="0.3">
      <c r="B694" s="7">
        <v>45688</v>
      </c>
      <c r="C694" t="s">
        <v>69</v>
      </c>
      <c r="D694" t="s">
        <v>101</v>
      </c>
      <c r="E694">
        <v>1216</v>
      </c>
    </row>
    <row r="695" spans="2:5" x14ac:dyDescent="0.3">
      <c r="B695" s="7">
        <v>45688</v>
      </c>
      <c r="C695" t="s">
        <v>69</v>
      </c>
      <c r="D695" t="s">
        <v>102</v>
      </c>
      <c r="E695">
        <v>1216</v>
      </c>
    </row>
    <row r="696" spans="2:5" x14ac:dyDescent="0.3">
      <c r="B696" s="7">
        <v>45688</v>
      </c>
      <c r="C696" t="s">
        <v>21</v>
      </c>
      <c r="D696" t="s">
        <v>92</v>
      </c>
      <c r="E696">
        <v>1200</v>
      </c>
    </row>
    <row r="697" spans="2:5" x14ac:dyDescent="0.3">
      <c r="B697" s="7">
        <v>45688</v>
      </c>
      <c r="C697" t="s">
        <v>21</v>
      </c>
      <c r="D697" t="s">
        <v>93</v>
      </c>
      <c r="E697">
        <v>900</v>
      </c>
    </row>
    <row r="698" spans="2:5" x14ac:dyDescent="0.3">
      <c r="B698" s="7">
        <v>45688</v>
      </c>
      <c r="C698" t="s">
        <v>21</v>
      </c>
      <c r="D698" t="s">
        <v>94</v>
      </c>
      <c r="E698">
        <v>734</v>
      </c>
    </row>
    <row r="699" spans="2:5" x14ac:dyDescent="0.3">
      <c r="B699" s="7">
        <v>45688</v>
      </c>
      <c r="C699" t="s">
        <v>21</v>
      </c>
      <c r="D699" t="s">
        <v>95</v>
      </c>
      <c r="E699">
        <v>834</v>
      </c>
    </row>
    <row r="700" spans="2:5" x14ac:dyDescent="0.3">
      <c r="B700" s="7">
        <v>45688</v>
      </c>
      <c r="C700" t="s">
        <v>21</v>
      </c>
      <c r="D700" t="s">
        <v>96</v>
      </c>
      <c r="E700">
        <v>534</v>
      </c>
    </row>
    <row r="701" spans="2:5" x14ac:dyDescent="0.3">
      <c r="B701" s="7">
        <v>45688</v>
      </c>
      <c r="C701" t="s">
        <v>21</v>
      </c>
      <c r="D701" t="s">
        <v>97</v>
      </c>
      <c r="E701">
        <v>534</v>
      </c>
    </row>
    <row r="702" spans="2:5" x14ac:dyDescent="0.3">
      <c r="B702" s="7">
        <v>45688</v>
      </c>
      <c r="C702" t="s">
        <v>21</v>
      </c>
      <c r="D702" t="s">
        <v>98</v>
      </c>
      <c r="E702">
        <v>400</v>
      </c>
    </row>
    <row r="703" spans="2:5" x14ac:dyDescent="0.3">
      <c r="B703" s="7">
        <v>45688</v>
      </c>
      <c r="C703" t="s">
        <v>21</v>
      </c>
      <c r="D703" t="s">
        <v>99</v>
      </c>
      <c r="E703">
        <v>467</v>
      </c>
    </row>
    <row r="704" spans="2:5" x14ac:dyDescent="0.3">
      <c r="B704" s="7">
        <v>45688</v>
      </c>
      <c r="C704" t="s">
        <v>21</v>
      </c>
      <c r="D704" t="s">
        <v>100</v>
      </c>
      <c r="E704">
        <v>400</v>
      </c>
    </row>
    <row r="705" spans="2:5" x14ac:dyDescent="0.3">
      <c r="B705" s="7">
        <v>45688</v>
      </c>
      <c r="C705" t="s">
        <v>21</v>
      </c>
      <c r="D705" t="s">
        <v>101</v>
      </c>
      <c r="E705">
        <v>333</v>
      </c>
    </row>
    <row r="706" spans="2:5" x14ac:dyDescent="0.3">
      <c r="B706" s="7">
        <v>45688</v>
      </c>
      <c r="C706" t="s">
        <v>21</v>
      </c>
      <c r="D706" t="s">
        <v>102</v>
      </c>
      <c r="E706">
        <v>333</v>
      </c>
    </row>
    <row r="707" spans="2:5" x14ac:dyDescent="0.3">
      <c r="B707" s="7">
        <v>45688</v>
      </c>
      <c r="C707" t="s">
        <v>26</v>
      </c>
      <c r="D707" t="s">
        <v>92</v>
      </c>
      <c r="E707">
        <v>5040</v>
      </c>
    </row>
    <row r="708" spans="2:5" x14ac:dyDescent="0.3">
      <c r="B708" s="7">
        <v>45688</v>
      </c>
      <c r="C708" t="s">
        <v>26</v>
      </c>
      <c r="D708" t="s">
        <v>93</v>
      </c>
      <c r="E708">
        <v>3360</v>
      </c>
    </row>
    <row r="709" spans="2:5" x14ac:dyDescent="0.3">
      <c r="B709" s="7">
        <v>45688</v>
      </c>
      <c r="C709" t="s">
        <v>26</v>
      </c>
      <c r="D709" t="s">
        <v>94</v>
      </c>
      <c r="E709">
        <v>3080</v>
      </c>
    </row>
    <row r="710" spans="2:5" x14ac:dyDescent="0.3">
      <c r="B710" s="7">
        <v>45688</v>
      </c>
      <c r="C710" t="s">
        <v>26</v>
      </c>
      <c r="D710" t="s">
        <v>95</v>
      </c>
      <c r="E710">
        <v>3920</v>
      </c>
    </row>
    <row r="711" spans="2:5" x14ac:dyDescent="0.3">
      <c r="B711" s="7">
        <v>45688</v>
      </c>
      <c r="C711" t="s">
        <v>26</v>
      </c>
      <c r="D711" t="s">
        <v>96</v>
      </c>
      <c r="E711">
        <v>2240</v>
      </c>
    </row>
    <row r="712" spans="2:5" x14ac:dyDescent="0.3">
      <c r="B712" s="7">
        <v>45688</v>
      </c>
      <c r="C712" t="s">
        <v>26</v>
      </c>
      <c r="D712" t="s">
        <v>97</v>
      </c>
      <c r="E712">
        <v>2240</v>
      </c>
    </row>
    <row r="713" spans="2:5" x14ac:dyDescent="0.3">
      <c r="B713" s="7">
        <v>45688</v>
      </c>
      <c r="C713" t="s">
        <v>26</v>
      </c>
      <c r="D713" t="s">
        <v>98</v>
      </c>
      <c r="E713">
        <v>1680</v>
      </c>
    </row>
    <row r="714" spans="2:5" x14ac:dyDescent="0.3">
      <c r="B714" s="7">
        <v>45688</v>
      </c>
      <c r="C714" t="s">
        <v>26</v>
      </c>
      <c r="D714" t="s">
        <v>99</v>
      </c>
      <c r="E714">
        <v>1960</v>
      </c>
    </row>
    <row r="715" spans="2:5" x14ac:dyDescent="0.3">
      <c r="B715" s="7">
        <v>45688</v>
      </c>
      <c r="C715" t="s">
        <v>26</v>
      </c>
      <c r="D715" t="s">
        <v>100</v>
      </c>
      <c r="E715">
        <v>1680</v>
      </c>
    </row>
    <row r="716" spans="2:5" x14ac:dyDescent="0.3">
      <c r="B716" s="7">
        <v>45688</v>
      </c>
      <c r="C716" t="s">
        <v>26</v>
      </c>
      <c r="D716" t="s">
        <v>101</v>
      </c>
      <c r="E716">
        <v>1400</v>
      </c>
    </row>
    <row r="717" spans="2:5" x14ac:dyDescent="0.3">
      <c r="B717" s="7">
        <v>45688</v>
      </c>
      <c r="C717" t="s">
        <v>26</v>
      </c>
      <c r="D717" t="s">
        <v>102</v>
      </c>
      <c r="E717">
        <v>1400</v>
      </c>
    </row>
    <row r="718" spans="2:5" x14ac:dyDescent="0.3">
      <c r="B718" s="7">
        <v>45716</v>
      </c>
      <c r="C718" t="s">
        <v>3</v>
      </c>
      <c r="D718" t="s">
        <v>92</v>
      </c>
      <c r="E718">
        <v>2502</v>
      </c>
    </row>
    <row r="719" spans="2:5" x14ac:dyDescent="0.3">
      <c r="B719" s="7">
        <v>45716</v>
      </c>
      <c r="C719" t="s">
        <v>3</v>
      </c>
      <c r="D719" t="s">
        <v>93</v>
      </c>
      <c r="E719">
        <v>1668</v>
      </c>
    </row>
    <row r="720" spans="2:5" x14ac:dyDescent="0.3">
      <c r="B720" s="7">
        <v>45716</v>
      </c>
      <c r="C720" t="s">
        <v>3</v>
      </c>
      <c r="D720" t="s">
        <v>94</v>
      </c>
      <c r="E720">
        <v>1529</v>
      </c>
    </row>
    <row r="721" spans="2:5" x14ac:dyDescent="0.3">
      <c r="B721" s="7">
        <v>45716</v>
      </c>
      <c r="C721" t="s">
        <v>3</v>
      </c>
      <c r="D721" t="s">
        <v>95</v>
      </c>
      <c r="E721">
        <v>1946</v>
      </c>
    </row>
    <row r="722" spans="2:5" x14ac:dyDescent="0.3">
      <c r="B722" s="7">
        <v>45716</v>
      </c>
      <c r="C722" t="s">
        <v>3</v>
      </c>
      <c r="D722" t="s">
        <v>96</v>
      </c>
      <c r="E722">
        <v>1112</v>
      </c>
    </row>
    <row r="723" spans="2:5" x14ac:dyDescent="0.3">
      <c r="B723" s="7">
        <v>45716</v>
      </c>
      <c r="C723" t="s">
        <v>3</v>
      </c>
      <c r="D723" t="s">
        <v>97</v>
      </c>
      <c r="E723">
        <v>1112</v>
      </c>
    </row>
    <row r="724" spans="2:5" x14ac:dyDescent="0.3">
      <c r="B724" s="7">
        <v>45716</v>
      </c>
      <c r="C724" t="s">
        <v>3</v>
      </c>
      <c r="D724" t="s">
        <v>98</v>
      </c>
      <c r="E724">
        <v>834</v>
      </c>
    </row>
    <row r="725" spans="2:5" x14ac:dyDescent="0.3">
      <c r="B725" s="7">
        <v>45716</v>
      </c>
      <c r="C725" t="s">
        <v>3</v>
      </c>
      <c r="D725" t="s">
        <v>99</v>
      </c>
      <c r="E725">
        <v>973</v>
      </c>
    </row>
    <row r="726" spans="2:5" x14ac:dyDescent="0.3">
      <c r="B726" s="7">
        <v>45716</v>
      </c>
      <c r="C726" t="s">
        <v>3</v>
      </c>
      <c r="D726" t="s">
        <v>100</v>
      </c>
      <c r="E726">
        <v>834</v>
      </c>
    </row>
    <row r="727" spans="2:5" x14ac:dyDescent="0.3">
      <c r="B727" s="7">
        <v>45716</v>
      </c>
      <c r="C727" t="s">
        <v>3</v>
      </c>
      <c r="D727" t="s">
        <v>101</v>
      </c>
      <c r="E727">
        <v>695</v>
      </c>
    </row>
    <row r="728" spans="2:5" x14ac:dyDescent="0.3">
      <c r="B728" s="7">
        <v>45716</v>
      </c>
      <c r="C728" t="s">
        <v>3</v>
      </c>
      <c r="D728" t="s">
        <v>102</v>
      </c>
      <c r="E728">
        <v>695</v>
      </c>
    </row>
    <row r="729" spans="2:5" x14ac:dyDescent="0.3">
      <c r="B729" s="7">
        <v>45716</v>
      </c>
      <c r="C729" t="s">
        <v>9</v>
      </c>
      <c r="D729" t="s">
        <v>92</v>
      </c>
      <c r="E729">
        <v>4104</v>
      </c>
    </row>
    <row r="730" spans="2:5" x14ac:dyDescent="0.3">
      <c r="B730" s="7">
        <v>45716</v>
      </c>
      <c r="C730" t="s">
        <v>9</v>
      </c>
      <c r="D730" t="s">
        <v>93</v>
      </c>
      <c r="E730">
        <v>2736</v>
      </c>
    </row>
    <row r="731" spans="2:5" x14ac:dyDescent="0.3">
      <c r="B731" s="7">
        <v>45716</v>
      </c>
      <c r="C731" t="s">
        <v>9</v>
      </c>
      <c r="D731" t="s">
        <v>94</v>
      </c>
      <c r="E731">
        <v>2508</v>
      </c>
    </row>
    <row r="732" spans="2:5" x14ac:dyDescent="0.3">
      <c r="B732" s="7">
        <v>45716</v>
      </c>
      <c r="C732" t="s">
        <v>9</v>
      </c>
      <c r="D732" t="s">
        <v>95</v>
      </c>
      <c r="E732">
        <v>3192</v>
      </c>
    </row>
    <row r="733" spans="2:5" x14ac:dyDescent="0.3">
      <c r="B733" s="7">
        <v>45716</v>
      </c>
      <c r="C733" t="s">
        <v>9</v>
      </c>
      <c r="D733" t="s">
        <v>96</v>
      </c>
      <c r="E733">
        <v>1824</v>
      </c>
    </row>
    <row r="734" spans="2:5" x14ac:dyDescent="0.3">
      <c r="B734" s="7">
        <v>45716</v>
      </c>
      <c r="C734" t="s">
        <v>9</v>
      </c>
      <c r="D734" t="s">
        <v>97</v>
      </c>
      <c r="E734">
        <v>1824</v>
      </c>
    </row>
    <row r="735" spans="2:5" x14ac:dyDescent="0.3">
      <c r="B735" s="7">
        <v>45716</v>
      </c>
      <c r="C735" t="s">
        <v>9</v>
      </c>
      <c r="D735" t="s">
        <v>98</v>
      </c>
      <c r="E735">
        <v>1368</v>
      </c>
    </row>
    <row r="736" spans="2:5" x14ac:dyDescent="0.3">
      <c r="B736" s="7">
        <v>45716</v>
      </c>
      <c r="C736" t="s">
        <v>9</v>
      </c>
      <c r="D736" t="s">
        <v>99</v>
      </c>
      <c r="E736">
        <v>1596</v>
      </c>
    </row>
    <row r="737" spans="2:5" x14ac:dyDescent="0.3">
      <c r="B737" s="7">
        <v>45716</v>
      </c>
      <c r="C737" t="s">
        <v>9</v>
      </c>
      <c r="D737" t="s">
        <v>100</v>
      </c>
      <c r="E737">
        <v>1368</v>
      </c>
    </row>
    <row r="738" spans="2:5" x14ac:dyDescent="0.3">
      <c r="B738" s="7">
        <v>45716</v>
      </c>
      <c r="C738" t="s">
        <v>9</v>
      </c>
      <c r="D738" t="s">
        <v>101</v>
      </c>
      <c r="E738">
        <v>1140</v>
      </c>
    </row>
    <row r="739" spans="2:5" x14ac:dyDescent="0.3">
      <c r="B739" s="7">
        <v>45716</v>
      </c>
      <c r="C739" t="s">
        <v>9</v>
      </c>
      <c r="D739" t="s">
        <v>102</v>
      </c>
      <c r="E739">
        <v>1140</v>
      </c>
    </row>
    <row r="740" spans="2:5" x14ac:dyDescent="0.3">
      <c r="B740" s="7">
        <v>45716</v>
      </c>
      <c r="C740" t="s">
        <v>69</v>
      </c>
      <c r="D740" t="s">
        <v>92</v>
      </c>
      <c r="E740">
        <v>4500</v>
      </c>
    </row>
    <row r="741" spans="2:5" x14ac:dyDescent="0.3">
      <c r="B741" s="7">
        <v>45716</v>
      </c>
      <c r="C741" t="s">
        <v>69</v>
      </c>
      <c r="D741" t="s">
        <v>93</v>
      </c>
      <c r="E741">
        <v>3000</v>
      </c>
    </row>
    <row r="742" spans="2:5" x14ac:dyDescent="0.3">
      <c r="B742" s="7">
        <v>45716</v>
      </c>
      <c r="C742" t="s">
        <v>69</v>
      </c>
      <c r="D742" t="s">
        <v>94</v>
      </c>
      <c r="E742">
        <v>2750</v>
      </c>
    </row>
    <row r="743" spans="2:5" x14ac:dyDescent="0.3">
      <c r="B743" s="7">
        <v>45716</v>
      </c>
      <c r="C743" t="s">
        <v>69</v>
      </c>
      <c r="D743" t="s">
        <v>95</v>
      </c>
      <c r="E743">
        <v>3500</v>
      </c>
    </row>
    <row r="744" spans="2:5" x14ac:dyDescent="0.3">
      <c r="B744" s="7">
        <v>45716</v>
      </c>
      <c r="C744" t="s">
        <v>69</v>
      </c>
      <c r="D744" t="s">
        <v>96</v>
      </c>
      <c r="E744">
        <v>2000</v>
      </c>
    </row>
    <row r="745" spans="2:5" x14ac:dyDescent="0.3">
      <c r="B745" s="7">
        <v>45716</v>
      </c>
      <c r="C745" t="s">
        <v>69</v>
      </c>
      <c r="D745" t="s">
        <v>97</v>
      </c>
      <c r="E745">
        <v>2000</v>
      </c>
    </row>
    <row r="746" spans="2:5" x14ac:dyDescent="0.3">
      <c r="B746" s="7">
        <v>45716</v>
      </c>
      <c r="C746" t="s">
        <v>69</v>
      </c>
      <c r="D746" t="s">
        <v>98</v>
      </c>
      <c r="E746">
        <v>1500</v>
      </c>
    </row>
    <row r="747" spans="2:5" x14ac:dyDescent="0.3">
      <c r="B747" s="7">
        <v>45716</v>
      </c>
      <c r="C747" t="s">
        <v>69</v>
      </c>
      <c r="D747" t="s">
        <v>99</v>
      </c>
      <c r="E747">
        <v>1750</v>
      </c>
    </row>
    <row r="748" spans="2:5" x14ac:dyDescent="0.3">
      <c r="B748" s="7">
        <v>45716</v>
      </c>
      <c r="C748" t="s">
        <v>69</v>
      </c>
      <c r="D748" t="s">
        <v>100</v>
      </c>
      <c r="E748">
        <v>1500</v>
      </c>
    </row>
    <row r="749" spans="2:5" x14ac:dyDescent="0.3">
      <c r="B749" s="7">
        <v>45716</v>
      </c>
      <c r="C749" t="s">
        <v>69</v>
      </c>
      <c r="D749" t="s">
        <v>101</v>
      </c>
      <c r="E749">
        <v>1250</v>
      </c>
    </row>
    <row r="750" spans="2:5" x14ac:dyDescent="0.3">
      <c r="B750" s="7">
        <v>45716</v>
      </c>
      <c r="C750" t="s">
        <v>69</v>
      </c>
      <c r="D750" t="s">
        <v>102</v>
      </c>
      <c r="E750">
        <v>1250</v>
      </c>
    </row>
    <row r="751" spans="2:5" x14ac:dyDescent="0.3">
      <c r="B751" s="7">
        <v>45716</v>
      </c>
      <c r="C751" t="s">
        <v>21</v>
      </c>
      <c r="D751" t="s">
        <v>92</v>
      </c>
      <c r="E751">
        <v>1116</v>
      </c>
    </row>
    <row r="752" spans="2:5" x14ac:dyDescent="0.3">
      <c r="B752" s="7">
        <v>45716</v>
      </c>
      <c r="C752" t="s">
        <v>21</v>
      </c>
      <c r="D752" t="s">
        <v>93</v>
      </c>
      <c r="E752">
        <v>944</v>
      </c>
    </row>
    <row r="753" spans="2:5" x14ac:dyDescent="0.3">
      <c r="B753" s="7">
        <v>45716</v>
      </c>
      <c r="C753" t="s">
        <v>21</v>
      </c>
      <c r="D753" t="s">
        <v>94</v>
      </c>
      <c r="E753">
        <v>682</v>
      </c>
    </row>
    <row r="754" spans="2:5" x14ac:dyDescent="0.3">
      <c r="B754" s="7">
        <v>45716</v>
      </c>
      <c r="C754" t="s">
        <v>21</v>
      </c>
      <c r="D754" t="s">
        <v>95</v>
      </c>
      <c r="E754">
        <v>668</v>
      </c>
    </row>
    <row r="755" spans="2:5" x14ac:dyDescent="0.3">
      <c r="B755" s="7">
        <v>45716</v>
      </c>
      <c r="C755" t="s">
        <v>21</v>
      </c>
      <c r="D755" t="s">
        <v>96</v>
      </c>
      <c r="E755">
        <v>496</v>
      </c>
    </row>
    <row r="756" spans="2:5" x14ac:dyDescent="0.3">
      <c r="B756" s="7">
        <v>45716</v>
      </c>
      <c r="C756" t="s">
        <v>21</v>
      </c>
      <c r="D756" t="s">
        <v>97</v>
      </c>
      <c r="E756">
        <v>496</v>
      </c>
    </row>
    <row r="757" spans="2:5" x14ac:dyDescent="0.3">
      <c r="B757" s="7">
        <v>45716</v>
      </c>
      <c r="C757" t="s">
        <v>21</v>
      </c>
      <c r="D757" t="s">
        <v>98</v>
      </c>
      <c r="E757">
        <v>372</v>
      </c>
    </row>
    <row r="758" spans="2:5" x14ac:dyDescent="0.3">
      <c r="B758" s="7">
        <v>45716</v>
      </c>
      <c r="C758" t="s">
        <v>21</v>
      </c>
      <c r="D758" t="s">
        <v>99</v>
      </c>
      <c r="E758">
        <v>434</v>
      </c>
    </row>
    <row r="759" spans="2:5" x14ac:dyDescent="0.3">
      <c r="B759" s="7">
        <v>45716</v>
      </c>
      <c r="C759" t="s">
        <v>21</v>
      </c>
      <c r="D759" t="s">
        <v>100</v>
      </c>
      <c r="E759">
        <v>372</v>
      </c>
    </row>
    <row r="760" spans="2:5" x14ac:dyDescent="0.3">
      <c r="B760" s="7">
        <v>45716</v>
      </c>
      <c r="C760" t="s">
        <v>21</v>
      </c>
      <c r="D760" t="s">
        <v>101</v>
      </c>
      <c r="E760">
        <v>310</v>
      </c>
    </row>
    <row r="761" spans="2:5" x14ac:dyDescent="0.3">
      <c r="B761" s="7">
        <v>45716</v>
      </c>
      <c r="C761" t="s">
        <v>21</v>
      </c>
      <c r="D761" t="s">
        <v>102</v>
      </c>
      <c r="E761">
        <v>310</v>
      </c>
    </row>
    <row r="762" spans="2:5" x14ac:dyDescent="0.3">
      <c r="B762" s="7">
        <v>45716</v>
      </c>
      <c r="C762" t="s">
        <v>26</v>
      </c>
      <c r="D762" t="s">
        <v>92</v>
      </c>
      <c r="E762">
        <v>5220</v>
      </c>
    </row>
    <row r="763" spans="2:5" x14ac:dyDescent="0.3">
      <c r="B763" s="7">
        <v>45716</v>
      </c>
      <c r="C763" t="s">
        <v>26</v>
      </c>
      <c r="D763" t="s">
        <v>93</v>
      </c>
      <c r="E763">
        <v>3480</v>
      </c>
    </row>
    <row r="764" spans="2:5" x14ac:dyDescent="0.3">
      <c r="B764" s="7">
        <v>45716</v>
      </c>
      <c r="C764" t="s">
        <v>26</v>
      </c>
      <c r="D764" t="s">
        <v>94</v>
      </c>
      <c r="E764">
        <v>3190</v>
      </c>
    </row>
    <row r="765" spans="2:5" x14ac:dyDescent="0.3">
      <c r="B765" s="7">
        <v>45716</v>
      </c>
      <c r="C765" t="s">
        <v>26</v>
      </c>
      <c r="D765" t="s">
        <v>95</v>
      </c>
      <c r="E765">
        <v>4060</v>
      </c>
    </row>
    <row r="766" spans="2:5" x14ac:dyDescent="0.3">
      <c r="B766" s="7">
        <v>45716</v>
      </c>
      <c r="C766" t="s">
        <v>26</v>
      </c>
      <c r="D766" t="s">
        <v>96</v>
      </c>
      <c r="E766">
        <v>2320</v>
      </c>
    </row>
    <row r="767" spans="2:5" x14ac:dyDescent="0.3">
      <c r="B767" s="7">
        <v>45716</v>
      </c>
      <c r="C767" t="s">
        <v>26</v>
      </c>
      <c r="D767" t="s">
        <v>97</v>
      </c>
      <c r="E767">
        <v>2320</v>
      </c>
    </row>
    <row r="768" spans="2:5" x14ac:dyDescent="0.3">
      <c r="B768" s="7">
        <v>45716</v>
      </c>
      <c r="C768" t="s">
        <v>26</v>
      </c>
      <c r="D768" t="s">
        <v>98</v>
      </c>
      <c r="E768">
        <v>1740</v>
      </c>
    </row>
    <row r="769" spans="2:5" x14ac:dyDescent="0.3">
      <c r="B769" s="7">
        <v>45716</v>
      </c>
      <c r="C769" t="s">
        <v>26</v>
      </c>
      <c r="D769" t="s">
        <v>99</v>
      </c>
      <c r="E769">
        <v>2030</v>
      </c>
    </row>
    <row r="770" spans="2:5" x14ac:dyDescent="0.3">
      <c r="B770" s="7">
        <v>45716</v>
      </c>
      <c r="C770" t="s">
        <v>26</v>
      </c>
      <c r="D770" t="s">
        <v>100</v>
      </c>
      <c r="E770">
        <v>1740</v>
      </c>
    </row>
    <row r="771" spans="2:5" x14ac:dyDescent="0.3">
      <c r="B771" s="7">
        <v>45716</v>
      </c>
      <c r="C771" t="s">
        <v>26</v>
      </c>
      <c r="D771" t="s">
        <v>101</v>
      </c>
      <c r="E771">
        <v>1450</v>
      </c>
    </row>
    <row r="772" spans="2:5" x14ac:dyDescent="0.3">
      <c r="B772" s="7">
        <v>45716</v>
      </c>
      <c r="C772" t="s">
        <v>26</v>
      </c>
      <c r="D772" t="s">
        <v>102</v>
      </c>
      <c r="E772">
        <v>1450</v>
      </c>
    </row>
    <row r="773" spans="2:5" x14ac:dyDescent="0.3">
      <c r="B773" s="7">
        <v>45747</v>
      </c>
      <c r="C773" t="s">
        <v>3</v>
      </c>
      <c r="D773" t="s">
        <v>92</v>
      </c>
      <c r="E773">
        <v>2780</v>
      </c>
    </row>
    <row r="774" spans="2:5" x14ac:dyDescent="0.3">
      <c r="B774" s="7">
        <v>45747</v>
      </c>
      <c r="C774" t="s">
        <v>3</v>
      </c>
      <c r="D774" t="s">
        <v>93</v>
      </c>
      <c r="E774">
        <v>1854</v>
      </c>
    </row>
    <row r="775" spans="2:5" x14ac:dyDescent="0.3">
      <c r="B775" s="7">
        <v>45747</v>
      </c>
      <c r="C775" t="s">
        <v>3</v>
      </c>
      <c r="D775" t="s">
        <v>94</v>
      </c>
      <c r="E775">
        <v>1699</v>
      </c>
    </row>
    <row r="776" spans="2:5" x14ac:dyDescent="0.3">
      <c r="B776" s="7">
        <v>45747</v>
      </c>
      <c r="C776" t="s">
        <v>3</v>
      </c>
      <c r="D776" t="s">
        <v>95</v>
      </c>
      <c r="E776">
        <v>2162</v>
      </c>
    </row>
    <row r="777" spans="2:5" x14ac:dyDescent="0.3">
      <c r="B777" s="7">
        <v>45747</v>
      </c>
      <c r="C777" t="s">
        <v>3</v>
      </c>
      <c r="D777" t="s">
        <v>96</v>
      </c>
      <c r="E777">
        <v>1236</v>
      </c>
    </row>
    <row r="778" spans="2:5" x14ac:dyDescent="0.3">
      <c r="B778" s="7">
        <v>45747</v>
      </c>
      <c r="C778" t="s">
        <v>3</v>
      </c>
      <c r="D778" t="s">
        <v>97</v>
      </c>
      <c r="E778">
        <v>1236</v>
      </c>
    </row>
    <row r="779" spans="2:5" x14ac:dyDescent="0.3">
      <c r="B779" s="7">
        <v>45747</v>
      </c>
      <c r="C779" t="s">
        <v>3</v>
      </c>
      <c r="D779" t="s">
        <v>98</v>
      </c>
      <c r="E779">
        <v>927</v>
      </c>
    </row>
    <row r="780" spans="2:5" x14ac:dyDescent="0.3">
      <c r="B780" s="7">
        <v>45747</v>
      </c>
      <c r="C780" t="s">
        <v>3</v>
      </c>
      <c r="D780" t="s">
        <v>99</v>
      </c>
      <c r="E780">
        <v>1081</v>
      </c>
    </row>
    <row r="781" spans="2:5" x14ac:dyDescent="0.3">
      <c r="B781" s="7">
        <v>45747</v>
      </c>
      <c r="C781" t="s">
        <v>3</v>
      </c>
      <c r="D781" t="s">
        <v>100</v>
      </c>
      <c r="E781">
        <v>927</v>
      </c>
    </row>
    <row r="782" spans="2:5" x14ac:dyDescent="0.3">
      <c r="B782" s="7">
        <v>45747</v>
      </c>
      <c r="C782" t="s">
        <v>3</v>
      </c>
      <c r="D782" t="s">
        <v>101</v>
      </c>
      <c r="E782">
        <v>772</v>
      </c>
    </row>
    <row r="783" spans="2:5" x14ac:dyDescent="0.3">
      <c r="B783" s="7">
        <v>45747</v>
      </c>
      <c r="C783" t="s">
        <v>3</v>
      </c>
      <c r="D783" t="s">
        <v>102</v>
      </c>
      <c r="E783">
        <v>772</v>
      </c>
    </row>
    <row r="784" spans="2:5" x14ac:dyDescent="0.3">
      <c r="B784" s="7">
        <v>45747</v>
      </c>
      <c r="C784" t="s">
        <v>9</v>
      </c>
      <c r="D784" t="s">
        <v>92</v>
      </c>
      <c r="E784">
        <v>4311</v>
      </c>
    </row>
    <row r="785" spans="2:5" x14ac:dyDescent="0.3">
      <c r="B785" s="7">
        <v>45747</v>
      </c>
      <c r="C785" t="s">
        <v>9</v>
      </c>
      <c r="D785" t="s">
        <v>93</v>
      </c>
      <c r="E785">
        <v>2874</v>
      </c>
    </row>
    <row r="786" spans="2:5" x14ac:dyDescent="0.3">
      <c r="B786" s="7">
        <v>45747</v>
      </c>
      <c r="C786" t="s">
        <v>9</v>
      </c>
      <c r="D786" t="s">
        <v>94</v>
      </c>
      <c r="E786">
        <v>2634</v>
      </c>
    </row>
    <row r="787" spans="2:5" x14ac:dyDescent="0.3">
      <c r="B787" s="7">
        <v>45747</v>
      </c>
      <c r="C787" t="s">
        <v>9</v>
      </c>
      <c r="D787" t="s">
        <v>95</v>
      </c>
      <c r="E787">
        <v>3353</v>
      </c>
    </row>
    <row r="788" spans="2:5" x14ac:dyDescent="0.3">
      <c r="B788" s="7">
        <v>45747</v>
      </c>
      <c r="C788" t="s">
        <v>9</v>
      </c>
      <c r="D788" t="s">
        <v>96</v>
      </c>
      <c r="E788">
        <v>1916</v>
      </c>
    </row>
    <row r="789" spans="2:5" x14ac:dyDescent="0.3">
      <c r="B789" s="7">
        <v>45747</v>
      </c>
      <c r="C789" t="s">
        <v>9</v>
      </c>
      <c r="D789" t="s">
        <v>97</v>
      </c>
      <c r="E789">
        <v>1916</v>
      </c>
    </row>
    <row r="790" spans="2:5" x14ac:dyDescent="0.3">
      <c r="B790" s="7">
        <v>45747</v>
      </c>
      <c r="C790" t="s">
        <v>9</v>
      </c>
      <c r="D790" t="s">
        <v>98</v>
      </c>
      <c r="E790">
        <v>1437</v>
      </c>
    </row>
    <row r="791" spans="2:5" x14ac:dyDescent="0.3">
      <c r="B791" s="7">
        <v>45747</v>
      </c>
      <c r="C791" t="s">
        <v>9</v>
      </c>
      <c r="D791" t="s">
        <v>99</v>
      </c>
      <c r="E791">
        <v>1677</v>
      </c>
    </row>
    <row r="792" spans="2:5" x14ac:dyDescent="0.3">
      <c r="B792" s="7">
        <v>45747</v>
      </c>
      <c r="C792" t="s">
        <v>9</v>
      </c>
      <c r="D792" t="s">
        <v>100</v>
      </c>
      <c r="E792">
        <v>1437</v>
      </c>
    </row>
    <row r="793" spans="2:5" x14ac:dyDescent="0.3">
      <c r="B793" s="7">
        <v>45747</v>
      </c>
      <c r="C793" t="s">
        <v>9</v>
      </c>
      <c r="D793" t="s">
        <v>101</v>
      </c>
      <c r="E793">
        <v>1198</v>
      </c>
    </row>
    <row r="794" spans="2:5" x14ac:dyDescent="0.3">
      <c r="B794" s="7">
        <v>45747</v>
      </c>
      <c r="C794" t="s">
        <v>9</v>
      </c>
      <c r="D794" t="s">
        <v>102</v>
      </c>
      <c r="E794">
        <v>1198</v>
      </c>
    </row>
    <row r="795" spans="2:5" x14ac:dyDescent="0.3">
      <c r="B795" s="7">
        <v>45747</v>
      </c>
      <c r="C795" t="s">
        <v>69</v>
      </c>
      <c r="D795" t="s">
        <v>92</v>
      </c>
      <c r="E795">
        <v>4217</v>
      </c>
    </row>
    <row r="796" spans="2:5" x14ac:dyDescent="0.3">
      <c r="B796" s="7">
        <v>45747</v>
      </c>
      <c r="C796" t="s">
        <v>69</v>
      </c>
      <c r="D796" t="s">
        <v>93</v>
      </c>
      <c r="E796">
        <v>2812</v>
      </c>
    </row>
    <row r="797" spans="2:5" x14ac:dyDescent="0.3">
      <c r="B797" s="7">
        <v>45747</v>
      </c>
      <c r="C797" t="s">
        <v>69</v>
      </c>
      <c r="D797" t="s">
        <v>94</v>
      </c>
      <c r="E797">
        <v>2577</v>
      </c>
    </row>
    <row r="798" spans="2:5" x14ac:dyDescent="0.3">
      <c r="B798" s="7">
        <v>45747</v>
      </c>
      <c r="C798" t="s">
        <v>69</v>
      </c>
      <c r="D798" t="s">
        <v>95</v>
      </c>
      <c r="E798">
        <v>3280</v>
      </c>
    </row>
    <row r="799" spans="2:5" x14ac:dyDescent="0.3">
      <c r="B799" s="7">
        <v>45747</v>
      </c>
      <c r="C799" t="s">
        <v>69</v>
      </c>
      <c r="D799" t="s">
        <v>96</v>
      </c>
      <c r="E799">
        <v>1874</v>
      </c>
    </row>
    <row r="800" spans="2:5" x14ac:dyDescent="0.3">
      <c r="B800" s="7">
        <v>45747</v>
      </c>
      <c r="C800" t="s">
        <v>69</v>
      </c>
      <c r="D800" t="s">
        <v>97</v>
      </c>
      <c r="E800">
        <v>1874</v>
      </c>
    </row>
    <row r="801" spans="2:5" x14ac:dyDescent="0.3">
      <c r="B801" s="7">
        <v>45747</v>
      </c>
      <c r="C801" t="s">
        <v>69</v>
      </c>
      <c r="D801" t="s">
        <v>98</v>
      </c>
      <c r="E801">
        <v>1406</v>
      </c>
    </row>
    <row r="802" spans="2:5" x14ac:dyDescent="0.3">
      <c r="B802" s="7">
        <v>45747</v>
      </c>
      <c r="C802" t="s">
        <v>69</v>
      </c>
      <c r="D802" t="s">
        <v>99</v>
      </c>
      <c r="E802">
        <v>1640</v>
      </c>
    </row>
    <row r="803" spans="2:5" x14ac:dyDescent="0.3">
      <c r="B803" s="7">
        <v>45747</v>
      </c>
      <c r="C803" t="s">
        <v>69</v>
      </c>
      <c r="D803" t="s">
        <v>100</v>
      </c>
      <c r="E803">
        <v>1406</v>
      </c>
    </row>
    <row r="804" spans="2:5" x14ac:dyDescent="0.3">
      <c r="B804" s="7">
        <v>45747</v>
      </c>
      <c r="C804" t="s">
        <v>69</v>
      </c>
      <c r="D804" t="s">
        <v>101</v>
      </c>
      <c r="E804">
        <v>1172</v>
      </c>
    </row>
    <row r="805" spans="2:5" x14ac:dyDescent="0.3">
      <c r="B805" s="7">
        <v>45747</v>
      </c>
      <c r="C805" t="s">
        <v>69</v>
      </c>
      <c r="D805" t="s">
        <v>102</v>
      </c>
      <c r="E805">
        <v>1172</v>
      </c>
    </row>
    <row r="806" spans="2:5" x14ac:dyDescent="0.3">
      <c r="B806" s="7">
        <v>45747</v>
      </c>
      <c r="C806" t="s">
        <v>21</v>
      </c>
      <c r="D806" t="s">
        <v>92</v>
      </c>
      <c r="E806">
        <v>1402</v>
      </c>
    </row>
    <row r="807" spans="2:5" x14ac:dyDescent="0.3">
      <c r="B807" s="7">
        <v>45747</v>
      </c>
      <c r="C807" t="s">
        <v>21</v>
      </c>
      <c r="D807" t="s">
        <v>93</v>
      </c>
      <c r="E807">
        <v>934</v>
      </c>
    </row>
    <row r="808" spans="2:5" x14ac:dyDescent="0.3">
      <c r="B808" s="7">
        <v>45747</v>
      </c>
      <c r="C808" t="s">
        <v>21</v>
      </c>
      <c r="D808" t="s">
        <v>94</v>
      </c>
      <c r="E808">
        <v>857</v>
      </c>
    </row>
    <row r="809" spans="2:5" x14ac:dyDescent="0.3">
      <c r="B809" s="7">
        <v>45747</v>
      </c>
      <c r="C809" t="s">
        <v>21</v>
      </c>
      <c r="D809" t="s">
        <v>95</v>
      </c>
      <c r="E809">
        <v>1090</v>
      </c>
    </row>
    <row r="810" spans="2:5" x14ac:dyDescent="0.3">
      <c r="B810" s="7">
        <v>45747</v>
      </c>
      <c r="C810" t="s">
        <v>21</v>
      </c>
      <c r="D810" t="s">
        <v>96</v>
      </c>
      <c r="E810">
        <v>623</v>
      </c>
    </row>
    <row r="811" spans="2:5" x14ac:dyDescent="0.3">
      <c r="B811" s="7">
        <v>45747</v>
      </c>
      <c r="C811" t="s">
        <v>21</v>
      </c>
      <c r="D811" t="s">
        <v>97</v>
      </c>
      <c r="E811">
        <v>623</v>
      </c>
    </row>
    <row r="812" spans="2:5" x14ac:dyDescent="0.3">
      <c r="B812" s="7">
        <v>45747</v>
      </c>
      <c r="C812" t="s">
        <v>21</v>
      </c>
      <c r="D812" t="s">
        <v>98</v>
      </c>
      <c r="E812">
        <v>467</v>
      </c>
    </row>
    <row r="813" spans="2:5" x14ac:dyDescent="0.3">
      <c r="B813" s="7">
        <v>45747</v>
      </c>
      <c r="C813" t="s">
        <v>21</v>
      </c>
      <c r="D813" t="s">
        <v>99</v>
      </c>
      <c r="E813">
        <v>545</v>
      </c>
    </row>
    <row r="814" spans="2:5" x14ac:dyDescent="0.3">
      <c r="B814" s="7">
        <v>45747</v>
      </c>
      <c r="C814" t="s">
        <v>21</v>
      </c>
      <c r="D814" t="s">
        <v>100</v>
      </c>
      <c r="E814">
        <v>467</v>
      </c>
    </row>
    <row r="815" spans="2:5" x14ac:dyDescent="0.3">
      <c r="B815" s="7">
        <v>45747</v>
      </c>
      <c r="C815" t="s">
        <v>21</v>
      </c>
      <c r="D815" t="s">
        <v>101</v>
      </c>
      <c r="E815">
        <v>389</v>
      </c>
    </row>
    <row r="816" spans="2:5" x14ac:dyDescent="0.3">
      <c r="B816" s="7">
        <v>45747</v>
      </c>
      <c r="C816" t="s">
        <v>21</v>
      </c>
      <c r="D816" t="s">
        <v>102</v>
      </c>
      <c r="E816">
        <v>389</v>
      </c>
    </row>
    <row r="817" spans="2:5" x14ac:dyDescent="0.3">
      <c r="B817" s="7">
        <v>45747</v>
      </c>
      <c r="C817" t="s">
        <v>26</v>
      </c>
      <c r="D817" t="s">
        <v>92</v>
      </c>
      <c r="E817">
        <v>6275</v>
      </c>
    </row>
    <row r="818" spans="2:5" x14ac:dyDescent="0.3">
      <c r="B818" s="7">
        <v>45747</v>
      </c>
      <c r="C818" t="s">
        <v>26</v>
      </c>
      <c r="D818" t="s">
        <v>93</v>
      </c>
      <c r="E818">
        <v>4184</v>
      </c>
    </row>
    <row r="819" spans="2:5" x14ac:dyDescent="0.3">
      <c r="B819" s="7">
        <v>45747</v>
      </c>
      <c r="C819" t="s">
        <v>26</v>
      </c>
      <c r="D819" t="s">
        <v>94</v>
      </c>
      <c r="E819">
        <v>3835</v>
      </c>
    </row>
    <row r="820" spans="2:5" x14ac:dyDescent="0.3">
      <c r="B820" s="7">
        <v>45747</v>
      </c>
      <c r="C820" t="s">
        <v>26</v>
      </c>
      <c r="D820" t="s">
        <v>95</v>
      </c>
      <c r="E820">
        <v>4881</v>
      </c>
    </row>
    <row r="821" spans="2:5" x14ac:dyDescent="0.3">
      <c r="B821" s="7">
        <v>45747</v>
      </c>
      <c r="C821" t="s">
        <v>26</v>
      </c>
      <c r="D821" t="s">
        <v>96</v>
      </c>
      <c r="E821">
        <v>2789</v>
      </c>
    </row>
    <row r="822" spans="2:5" x14ac:dyDescent="0.3">
      <c r="B822" s="7">
        <v>45747</v>
      </c>
      <c r="C822" t="s">
        <v>26</v>
      </c>
      <c r="D822" t="s">
        <v>97</v>
      </c>
      <c r="E822">
        <v>2789</v>
      </c>
    </row>
    <row r="823" spans="2:5" x14ac:dyDescent="0.3">
      <c r="B823" s="7">
        <v>45747</v>
      </c>
      <c r="C823" t="s">
        <v>26</v>
      </c>
      <c r="D823" t="s">
        <v>98</v>
      </c>
      <c r="E823">
        <v>2092</v>
      </c>
    </row>
    <row r="824" spans="2:5" x14ac:dyDescent="0.3">
      <c r="B824" s="7">
        <v>45747</v>
      </c>
      <c r="C824" t="s">
        <v>26</v>
      </c>
      <c r="D824" t="s">
        <v>99</v>
      </c>
      <c r="E824">
        <v>2440</v>
      </c>
    </row>
    <row r="825" spans="2:5" x14ac:dyDescent="0.3">
      <c r="B825" s="7">
        <v>45747</v>
      </c>
      <c r="C825" t="s">
        <v>26</v>
      </c>
      <c r="D825" t="s">
        <v>100</v>
      </c>
      <c r="E825">
        <v>2092</v>
      </c>
    </row>
    <row r="826" spans="2:5" x14ac:dyDescent="0.3">
      <c r="B826" s="7">
        <v>45747</v>
      </c>
      <c r="C826" t="s">
        <v>26</v>
      </c>
      <c r="D826" t="s">
        <v>101</v>
      </c>
      <c r="E826">
        <v>1743</v>
      </c>
    </row>
    <row r="827" spans="2:5" x14ac:dyDescent="0.3">
      <c r="B827" s="7">
        <v>45747</v>
      </c>
      <c r="C827" t="s">
        <v>26</v>
      </c>
      <c r="D827" t="s">
        <v>102</v>
      </c>
      <c r="E827">
        <v>1743</v>
      </c>
    </row>
    <row r="828" spans="2:5" x14ac:dyDescent="0.3">
      <c r="B828" s="7">
        <v>45777</v>
      </c>
      <c r="C828" t="s">
        <v>3</v>
      </c>
      <c r="D828" t="s">
        <v>92</v>
      </c>
      <c r="E828">
        <v>2664</v>
      </c>
    </row>
    <row r="829" spans="2:5" x14ac:dyDescent="0.3">
      <c r="B829" s="7">
        <v>45777</v>
      </c>
      <c r="C829" t="s">
        <v>3</v>
      </c>
      <c r="D829" t="s">
        <v>93</v>
      </c>
      <c r="E829">
        <v>1776</v>
      </c>
    </row>
    <row r="830" spans="2:5" x14ac:dyDescent="0.3">
      <c r="B830" s="7">
        <v>45777</v>
      </c>
      <c r="C830" t="s">
        <v>3</v>
      </c>
      <c r="D830" t="s">
        <v>94</v>
      </c>
      <c r="E830">
        <v>1628</v>
      </c>
    </row>
    <row r="831" spans="2:5" x14ac:dyDescent="0.3">
      <c r="B831" s="7">
        <v>45777</v>
      </c>
      <c r="C831" t="s">
        <v>3</v>
      </c>
      <c r="D831" t="s">
        <v>95</v>
      </c>
      <c r="E831">
        <v>2072</v>
      </c>
    </row>
    <row r="832" spans="2:5" x14ac:dyDescent="0.3">
      <c r="B832" s="7">
        <v>45777</v>
      </c>
      <c r="C832" t="s">
        <v>3</v>
      </c>
      <c r="D832" t="s">
        <v>96</v>
      </c>
      <c r="E832">
        <v>1184</v>
      </c>
    </row>
    <row r="833" spans="2:5" x14ac:dyDescent="0.3">
      <c r="B833" s="7">
        <v>45777</v>
      </c>
      <c r="C833" t="s">
        <v>3</v>
      </c>
      <c r="D833" t="s">
        <v>97</v>
      </c>
      <c r="E833">
        <v>1184</v>
      </c>
    </row>
    <row r="834" spans="2:5" x14ac:dyDescent="0.3">
      <c r="B834" s="7">
        <v>45777</v>
      </c>
      <c r="C834" t="s">
        <v>3</v>
      </c>
      <c r="D834" t="s">
        <v>98</v>
      </c>
      <c r="E834">
        <v>888</v>
      </c>
    </row>
    <row r="835" spans="2:5" x14ac:dyDescent="0.3">
      <c r="B835" s="7">
        <v>45777</v>
      </c>
      <c r="C835" t="s">
        <v>3</v>
      </c>
      <c r="D835" t="s">
        <v>99</v>
      </c>
      <c r="E835">
        <v>1036</v>
      </c>
    </row>
    <row r="836" spans="2:5" x14ac:dyDescent="0.3">
      <c r="B836" s="7">
        <v>45777</v>
      </c>
      <c r="C836" t="s">
        <v>3</v>
      </c>
      <c r="D836" t="s">
        <v>100</v>
      </c>
      <c r="E836">
        <v>888</v>
      </c>
    </row>
    <row r="837" spans="2:5" x14ac:dyDescent="0.3">
      <c r="B837" s="7">
        <v>45777</v>
      </c>
      <c r="C837" t="s">
        <v>3</v>
      </c>
      <c r="D837" t="s">
        <v>101</v>
      </c>
      <c r="E837">
        <v>740</v>
      </c>
    </row>
    <row r="838" spans="2:5" x14ac:dyDescent="0.3">
      <c r="B838" s="7">
        <v>45777</v>
      </c>
      <c r="C838" t="s">
        <v>3</v>
      </c>
      <c r="D838" t="s">
        <v>102</v>
      </c>
      <c r="E838">
        <v>740</v>
      </c>
    </row>
    <row r="839" spans="2:5" x14ac:dyDescent="0.3">
      <c r="B839" s="7">
        <v>45777</v>
      </c>
      <c r="C839" t="s">
        <v>9</v>
      </c>
      <c r="D839" t="s">
        <v>92</v>
      </c>
      <c r="E839">
        <v>4983</v>
      </c>
    </row>
    <row r="840" spans="2:5" x14ac:dyDescent="0.3">
      <c r="B840" s="7">
        <v>45777</v>
      </c>
      <c r="C840" t="s">
        <v>9</v>
      </c>
      <c r="D840" t="s">
        <v>93</v>
      </c>
      <c r="E840">
        <v>3322</v>
      </c>
    </row>
    <row r="841" spans="2:5" x14ac:dyDescent="0.3">
      <c r="B841" s="7">
        <v>45777</v>
      </c>
      <c r="C841" t="s">
        <v>9</v>
      </c>
      <c r="D841" t="s">
        <v>94</v>
      </c>
      <c r="E841">
        <v>3045</v>
      </c>
    </row>
    <row r="842" spans="2:5" x14ac:dyDescent="0.3">
      <c r="B842" s="7">
        <v>45777</v>
      </c>
      <c r="C842" t="s">
        <v>9</v>
      </c>
      <c r="D842" t="s">
        <v>95</v>
      </c>
      <c r="E842">
        <v>3876</v>
      </c>
    </row>
    <row r="843" spans="2:5" x14ac:dyDescent="0.3">
      <c r="B843" s="7">
        <v>45777</v>
      </c>
      <c r="C843" t="s">
        <v>9</v>
      </c>
      <c r="D843" t="s">
        <v>96</v>
      </c>
      <c r="E843">
        <v>2215</v>
      </c>
    </row>
    <row r="844" spans="2:5" x14ac:dyDescent="0.3">
      <c r="B844" s="7">
        <v>45777</v>
      </c>
      <c r="C844" t="s">
        <v>9</v>
      </c>
      <c r="D844" t="s">
        <v>97</v>
      </c>
      <c r="E844">
        <v>2215</v>
      </c>
    </row>
    <row r="845" spans="2:5" x14ac:dyDescent="0.3">
      <c r="B845" s="7">
        <v>45777</v>
      </c>
      <c r="C845" t="s">
        <v>9</v>
      </c>
      <c r="D845" t="s">
        <v>98</v>
      </c>
      <c r="E845">
        <v>1661</v>
      </c>
    </row>
    <row r="846" spans="2:5" x14ac:dyDescent="0.3">
      <c r="B846" s="7">
        <v>45777</v>
      </c>
      <c r="C846" t="s">
        <v>9</v>
      </c>
      <c r="D846" t="s">
        <v>99</v>
      </c>
      <c r="E846">
        <v>1938</v>
      </c>
    </row>
    <row r="847" spans="2:5" x14ac:dyDescent="0.3">
      <c r="B847" s="7">
        <v>45777</v>
      </c>
      <c r="C847" t="s">
        <v>9</v>
      </c>
      <c r="D847" t="s">
        <v>100</v>
      </c>
      <c r="E847">
        <v>1661</v>
      </c>
    </row>
    <row r="848" spans="2:5" x14ac:dyDescent="0.3">
      <c r="B848" s="7">
        <v>45777</v>
      </c>
      <c r="C848" t="s">
        <v>9</v>
      </c>
      <c r="D848" t="s">
        <v>101</v>
      </c>
      <c r="E848">
        <v>1384</v>
      </c>
    </row>
    <row r="849" spans="2:5" x14ac:dyDescent="0.3">
      <c r="B849" s="7">
        <v>45777</v>
      </c>
      <c r="C849" t="s">
        <v>9</v>
      </c>
      <c r="D849" t="s">
        <v>102</v>
      </c>
      <c r="E849">
        <v>1384</v>
      </c>
    </row>
    <row r="850" spans="2:5" x14ac:dyDescent="0.3">
      <c r="B850" s="7">
        <v>45777</v>
      </c>
      <c r="C850" t="s">
        <v>69</v>
      </c>
      <c r="D850" t="s">
        <v>92</v>
      </c>
      <c r="E850">
        <v>3960</v>
      </c>
    </row>
    <row r="851" spans="2:5" x14ac:dyDescent="0.3">
      <c r="B851" s="7">
        <v>45777</v>
      </c>
      <c r="C851" t="s">
        <v>69</v>
      </c>
      <c r="D851" t="s">
        <v>93</v>
      </c>
      <c r="E851">
        <v>2640</v>
      </c>
    </row>
    <row r="852" spans="2:5" x14ac:dyDescent="0.3">
      <c r="B852" s="7">
        <v>45777</v>
      </c>
      <c r="C852" t="s">
        <v>69</v>
      </c>
      <c r="D852" t="s">
        <v>94</v>
      </c>
      <c r="E852">
        <v>2420</v>
      </c>
    </row>
    <row r="853" spans="2:5" x14ac:dyDescent="0.3">
      <c r="B853" s="7">
        <v>45777</v>
      </c>
      <c r="C853" t="s">
        <v>69</v>
      </c>
      <c r="D853" t="s">
        <v>95</v>
      </c>
      <c r="E853">
        <v>3080</v>
      </c>
    </row>
    <row r="854" spans="2:5" x14ac:dyDescent="0.3">
      <c r="B854" s="7">
        <v>45777</v>
      </c>
      <c r="C854" t="s">
        <v>69</v>
      </c>
      <c r="D854" t="s">
        <v>96</v>
      </c>
      <c r="E854">
        <v>1760</v>
      </c>
    </row>
    <row r="855" spans="2:5" x14ac:dyDescent="0.3">
      <c r="B855" s="7">
        <v>45777</v>
      </c>
      <c r="C855" t="s">
        <v>69</v>
      </c>
      <c r="D855" t="s">
        <v>97</v>
      </c>
      <c r="E855">
        <v>1760</v>
      </c>
    </row>
    <row r="856" spans="2:5" x14ac:dyDescent="0.3">
      <c r="B856" s="7">
        <v>45777</v>
      </c>
      <c r="C856" t="s">
        <v>69</v>
      </c>
      <c r="D856" t="s">
        <v>98</v>
      </c>
      <c r="E856">
        <v>1320</v>
      </c>
    </row>
    <row r="857" spans="2:5" x14ac:dyDescent="0.3">
      <c r="B857" s="7">
        <v>45777</v>
      </c>
      <c r="C857" t="s">
        <v>69</v>
      </c>
      <c r="D857" t="s">
        <v>99</v>
      </c>
      <c r="E857">
        <v>1540</v>
      </c>
    </row>
    <row r="858" spans="2:5" x14ac:dyDescent="0.3">
      <c r="B858" s="7">
        <v>45777</v>
      </c>
      <c r="C858" t="s">
        <v>69</v>
      </c>
      <c r="D858" t="s">
        <v>100</v>
      </c>
      <c r="E858">
        <v>1320</v>
      </c>
    </row>
    <row r="859" spans="2:5" x14ac:dyDescent="0.3">
      <c r="B859" s="7">
        <v>45777</v>
      </c>
      <c r="C859" t="s">
        <v>69</v>
      </c>
      <c r="D859" t="s">
        <v>101</v>
      </c>
      <c r="E859">
        <v>1100</v>
      </c>
    </row>
    <row r="860" spans="2:5" x14ac:dyDescent="0.3">
      <c r="B860" s="7">
        <v>45777</v>
      </c>
      <c r="C860" t="s">
        <v>69</v>
      </c>
      <c r="D860" t="s">
        <v>102</v>
      </c>
      <c r="E860">
        <v>1100</v>
      </c>
    </row>
    <row r="861" spans="2:5" x14ac:dyDescent="0.3">
      <c r="B861" s="7">
        <v>45777</v>
      </c>
      <c r="C861" t="s">
        <v>21</v>
      </c>
      <c r="D861" t="s">
        <v>92</v>
      </c>
      <c r="E861">
        <v>1281</v>
      </c>
    </row>
    <row r="862" spans="2:5" x14ac:dyDescent="0.3">
      <c r="B862" s="7">
        <v>45777</v>
      </c>
      <c r="C862" t="s">
        <v>21</v>
      </c>
      <c r="D862" t="s">
        <v>93</v>
      </c>
      <c r="E862">
        <v>854</v>
      </c>
    </row>
    <row r="863" spans="2:5" x14ac:dyDescent="0.3">
      <c r="B863" s="7">
        <v>45777</v>
      </c>
      <c r="C863" t="s">
        <v>21</v>
      </c>
      <c r="D863" t="s">
        <v>94</v>
      </c>
      <c r="E863">
        <v>783</v>
      </c>
    </row>
    <row r="864" spans="2:5" x14ac:dyDescent="0.3">
      <c r="B864" s="7">
        <v>45777</v>
      </c>
      <c r="C864" t="s">
        <v>21</v>
      </c>
      <c r="D864" t="s">
        <v>95</v>
      </c>
      <c r="E864">
        <v>996</v>
      </c>
    </row>
    <row r="865" spans="2:5" x14ac:dyDescent="0.3">
      <c r="B865" s="7">
        <v>45777</v>
      </c>
      <c r="C865" t="s">
        <v>21</v>
      </c>
      <c r="D865" t="s">
        <v>96</v>
      </c>
      <c r="E865">
        <v>569</v>
      </c>
    </row>
    <row r="866" spans="2:5" x14ac:dyDescent="0.3">
      <c r="B866" s="7">
        <v>45777</v>
      </c>
      <c r="C866" t="s">
        <v>21</v>
      </c>
      <c r="D866" t="s">
        <v>97</v>
      </c>
      <c r="E866">
        <v>569</v>
      </c>
    </row>
    <row r="867" spans="2:5" x14ac:dyDescent="0.3">
      <c r="B867" s="7">
        <v>45777</v>
      </c>
      <c r="C867" t="s">
        <v>21</v>
      </c>
      <c r="D867" t="s">
        <v>98</v>
      </c>
      <c r="E867">
        <v>427</v>
      </c>
    </row>
    <row r="868" spans="2:5" x14ac:dyDescent="0.3">
      <c r="B868" s="7">
        <v>45777</v>
      </c>
      <c r="C868" t="s">
        <v>21</v>
      </c>
      <c r="D868" t="s">
        <v>99</v>
      </c>
      <c r="E868">
        <v>498</v>
      </c>
    </row>
    <row r="869" spans="2:5" x14ac:dyDescent="0.3">
      <c r="B869" s="7">
        <v>45777</v>
      </c>
      <c r="C869" t="s">
        <v>21</v>
      </c>
      <c r="D869" t="s">
        <v>100</v>
      </c>
      <c r="E869">
        <v>427</v>
      </c>
    </row>
    <row r="870" spans="2:5" x14ac:dyDescent="0.3">
      <c r="B870" s="7">
        <v>45777</v>
      </c>
      <c r="C870" t="s">
        <v>21</v>
      </c>
      <c r="D870" t="s">
        <v>101</v>
      </c>
      <c r="E870">
        <v>356</v>
      </c>
    </row>
    <row r="871" spans="2:5" x14ac:dyDescent="0.3">
      <c r="B871" s="7">
        <v>45777</v>
      </c>
      <c r="C871" t="s">
        <v>21</v>
      </c>
      <c r="D871" t="s">
        <v>102</v>
      </c>
      <c r="E871">
        <v>356</v>
      </c>
    </row>
    <row r="872" spans="2:5" x14ac:dyDescent="0.3">
      <c r="B872" s="7">
        <v>45777</v>
      </c>
      <c r="C872" t="s">
        <v>26</v>
      </c>
      <c r="D872" t="s">
        <v>92</v>
      </c>
      <c r="E872">
        <v>5400</v>
      </c>
    </row>
    <row r="873" spans="2:5" x14ac:dyDescent="0.3">
      <c r="B873" s="7">
        <v>45777</v>
      </c>
      <c r="C873" t="s">
        <v>26</v>
      </c>
      <c r="D873" t="s">
        <v>93</v>
      </c>
      <c r="E873">
        <v>3600</v>
      </c>
    </row>
    <row r="874" spans="2:5" x14ac:dyDescent="0.3">
      <c r="B874" s="7">
        <v>45777</v>
      </c>
      <c r="C874" t="s">
        <v>26</v>
      </c>
      <c r="D874" t="s">
        <v>94</v>
      </c>
      <c r="E874">
        <v>3300</v>
      </c>
    </row>
    <row r="875" spans="2:5" x14ac:dyDescent="0.3">
      <c r="B875" s="7">
        <v>45777</v>
      </c>
      <c r="C875" t="s">
        <v>26</v>
      </c>
      <c r="D875" t="s">
        <v>95</v>
      </c>
      <c r="E875">
        <v>4200</v>
      </c>
    </row>
    <row r="876" spans="2:5" x14ac:dyDescent="0.3">
      <c r="B876" s="7">
        <v>45777</v>
      </c>
      <c r="C876" t="s">
        <v>26</v>
      </c>
      <c r="D876" t="s">
        <v>96</v>
      </c>
      <c r="E876">
        <v>2400</v>
      </c>
    </row>
    <row r="877" spans="2:5" x14ac:dyDescent="0.3">
      <c r="B877" s="7">
        <v>45777</v>
      </c>
      <c r="C877" t="s">
        <v>26</v>
      </c>
      <c r="D877" t="s">
        <v>97</v>
      </c>
      <c r="E877">
        <v>2400</v>
      </c>
    </row>
    <row r="878" spans="2:5" x14ac:dyDescent="0.3">
      <c r="B878" s="7">
        <v>45777</v>
      </c>
      <c r="C878" t="s">
        <v>26</v>
      </c>
      <c r="D878" t="s">
        <v>98</v>
      </c>
      <c r="E878">
        <v>1800</v>
      </c>
    </row>
    <row r="879" spans="2:5" x14ac:dyDescent="0.3">
      <c r="B879" s="7">
        <v>45777</v>
      </c>
      <c r="C879" t="s">
        <v>26</v>
      </c>
      <c r="D879" t="s">
        <v>99</v>
      </c>
      <c r="E879">
        <v>2100</v>
      </c>
    </row>
    <row r="880" spans="2:5" x14ac:dyDescent="0.3">
      <c r="B880" s="7">
        <v>45777</v>
      </c>
      <c r="C880" t="s">
        <v>26</v>
      </c>
      <c r="D880" t="s">
        <v>100</v>
      </c>
      <c r="E880">
        <v>1800</v>
      </c>
    </row>
    <row r="881" spans="2:5" x14ac:dyDescent="0.3">
      <c r="B881" s="7">
        <v>45777</v>
      </c>
      <c r="C881" t="s">
        <v>26</v>
      </c>
      <c r="D881" t="s">
        <v>101</v>
      </c>
      <c r="E881">
        <v>1500</v>
      </c>
    </row>
    <row r="882" spans="2:5" x14ac:dyDescent="0.3">
      <c r="B882" s="7">
        <v>45777</v>
      </c>
      <c r="C882" t="s">
        <v>26</v>
      </c>
      <c r="D882" t="s">
        <v>102</v>
      </c>
      <c r="E882">
        <v>1500</v>
      </c>
    </row>
    <row r="883" spans="2:5" x14ac:dyDescent="0.3">
      <c r="B883" s="7">
        <v>45808</v>
      </c>
      <c r="C883" t="s">
        <v>3</v>
      </c>
      <c r="D883" t="s">
        <v>92</v>
      </c>
      <c r="E883">
        <v>2736</v>
      </c>
    </row>
    <row r="884" spans="2:5" x14ac:dyDescent="0.3">
      <c r="B884" s="7">
        <v>45808</v>
      </c>
      <c r="C884" t="s">
        <v>3</v>
      </c>
      <c r="D884" t="s">
        <v>93</v>
      </c>
      <c r="E884">
        <v>1824</v>
      </c>
    </row>
    <row r="885" spans="2:5" x14ac:dyDescent="0.3">
      <c r="B885" s="7">
        <v>45808</v>
      </c>
      <c r="C885" t="s">
        <v>3</v>
      </c>
      <c r="D885" t="s">
        <v>94</v>
      </c>
      <c r="E885">
        <v>1672</v>
      </c>
    </row>
    <row r="886" spans="2:5" x14ac:dyDescent="0.3">
      <c r="B886" s="7">
        <v>45808</v>
      </c>
      <c r="C886" t="s">
        <v>3</v>
      </c>
      <c r="D886" t="s">
        <v>95</v>
      </c>
      <c r="E886">
        <v>2128</v>
      </c>
    </row>
    <row r="887" spans="2:5" x14ac:dyDescent="0.3">
      <c r="B887" s="7">
        <v>45808</v>
      </c>
      <c r="C887" t="s">
        <v>3</v>
      </c>
      <c r="D887" t="s">
        <v>96</v>
      </c>
      <c r="E887">
        <v>1216</v>
      </c>
    </row>
    <row r="888" spans="2:5" x14ac:dyDescent="0.3">
      <c r="B888" s="7">
        <v>45808</v>
      </c>
      <c r="C888" t="s">
        <v>3</v>
      </c>
      <c r="D888" t="s">
        <v>97</v>
      </c>
      <c r="E888">
        <v>1216</v>
      </c>
    </row>
    <row r="889" spans="2:5" x14ac:dyDescent="0.3">
      <c r="B889" s="7">
        <v>45808</v>
      </c>
      <c r="C889" t="s">
        <v>3</v>
      </c>
      <c r="D889" t="s">
        <v>98</v>
      </c>
      <c r="E889">
        <v>912</v>
      </c>
    </row>
    <row r="890" spans="2:5" x14ac:dyDescent="0.3">
      <c r="B890" s="7">
        <v>45808</v>
      </c>
      <c r="C890" t="s">
        <v>3</v>
      </c>
      <c r="D890" t="s">
        <v>99</v>
      </c>
      <c r="E890">
        <v>1064</v>
      </c>
    </row>
    <row r="891" spans="2:5" x14ac:dyDescent="0.3">
      <c r="B891" s="7">
        <v>45808</v>
      </c>
      <c r="C891" t="s">
        <v>3</v>
      </c>
      <c r="D891" t="s">
        <v>100</v>
      </c>
      <c r="E891">
        <v>912</v>
      </c>
    </row>
    <row r="892" spans="2:5" x14ac:dyDescent="0.3">
      <c r="B892" s="7">
        <v>45808</v>
      </c>
      <c r="C892" t="s">
        <v>3</v>
      </c>
      <c r="D892" t="s">
        <v>101</v>
      </c>
      <c r="E892">
        <v>760</v>
      </c>
    </row>
    <row r="893" spans="2:5" x14ac:dyDescent="0.3">
      <c r="B893" s="7">
        <v>45808</v>
      </c>
      <c r="C893" t="s">
        <v>3</v>
      </c>
      <c r="D893" t="s">
        <v>102</v>
      </c>
      <c r="E893">
        <v>760</v>
      </c>
    </row>
    <row r="894" spans="2:5" x14ac:dyDescent="0.3">
      <c r="B894" s="7">
        <v>45808</v>
      </c>
      <c r="C894" t="s">
        <v>9</v>
      </c>
      <c r="D894" t="s">
        <v>92</v>
      </c>
      <c r="E894">
        <v>4626</v>
      </c>
    </row>
    <row r="895" spans="2:5" x14ac:dyDescent="0.3">
      <c r="B895" s="7">
        <v>45808</v>
      </c>
      <c r="C895" t="s">
        <v>9</v>
      </c>
      <c r="D895" t="s">
        <v>93</v>
      </c>
      <c r="E895">
        <v>3084</v>
      </c>
    </row>
    <row r="896" spans="2:5" x14ac:dyDescent="0.3">
      <c r="B896" s="7">
        <v>45808</v>
      </c>
      <c r="C896" t="s">
        <v>9</v>
      </c>
      <c r="D896" t="s">
        <v>94</v>
      </c>
      <c r="E896">
        <v>2827</v>
      </c>
    </row>
    <row r="897" spans="2:5" x14ac:dyDescent="0.3">
      <c r="B897" s="7">
        <v>45808</v>
      </c>
      <c r="C897" t="s">
        <v>9</v>
      </c>
      <c r="D897" t="s">
        <v>95</v>
      </c>
      <c r="E897">
        <v>3598</v>
      </c>
    </row>
    <row r="898" spans="2:5" x14ac:dyDescent="0.3">
      <c r="B898" s="7">
        <v>45808</v>
      </c>
      <c r="C898" t="s">
        <v>9</v>
      </c>
      <c r="D898" t="s">
        <v>96</v>
      </c>
      <c r="E898">
        <v>2056</v>
      </c>
    </row>
    <row r="899" spans="2:5" x14ac:dyDescent="0.3">
      <c r="B899" s="7">
        <v>45808</v>
      </c>
      <c r="C899" t="s">
        <v>9</v>
      </c>
      <c r="D899" t="s">
        <v>97</v>
      </c>
      <c r="E899">
        <v>2056</v>
      </c>
    </row>
    <row r="900" spans="2:5" x14ac:dyDescent="0.3">
      <c r="B900" s="7">
        <v>45808</v>
      </c>
      <c r="C900" t="s">
        <v>9</v>
      </c>
      <c r="D900" t="s">
        <v>98</v>
      </c>
      <c r="E900">
        <v>1542</v>
      </c>
    </row>
    <row r="901" spans="2:5" x14ac:dyDescent="0.3">
      <c r="B901" s="7">
        <v>45808</v>
      </c>
      <c r="C901" t="s">
        <v>9</v>
      </c>
      <c r="D901" t="s">
        <v>99</v>
      </c>
      <c r="E901">
        <v>1799</v>
      </c>
    </row>
    <row r="902" spans="2:5" x14ac:dyDescent="0.3">
      <c r="B902" s="7">
        <v>45808</v>
      </c>
      <c r="C902" t="s">
        <v>9</v>
      </c>
      <c r="D902" t="s">
        <v>100</v>
      </c>
      <c r="E902">
        <v>1542</v>
      </c>
    </row>
    <row r="903" spans="2:5" x14ac:dyDescent="0.3">
      <c r="B903" s="7">
        <v>45808</v>
      </c>
      <c r="C903" t="s">
        <v>9</v>
      </c>
      <c r="D903" t="s">
        <v>101</v>
      </c>
      <c r="E903">
        <v>1285</v>
      </c>
    </row>
    <row r="904" spans="2:5" x14ac:dyDescent="0.3">
      <c r="B904" s="7">
        <v>45808</v>
      </c>
      <c r="C904" t="s">
        <v>9</v>
      </c>
      <c r="D904" t="s">
        <v>102</v>
      </c>
      <c r="E904">
        <v>1285</v>
      </c>
    </row>
    <row r="905" spans="2:5" x14ac:dyDescent="0.3">
      <c r="B905" s="7">
        <v>45808</v>
      </c>
      <c r="C905" t="s">
        <v>69</v>
      </c>
      <c r="D905" t="s">
        <v>92</v>
      </c>
      <c r="E905">
        <v>3330</v>
      </c>
    </row>
    <row r="906" spans="2:5" x14ac:dyDescent="0.3">
      <c r="B906" s="7">
        <v>45808</v>
      </c>
      <c r="C906" t="s">
        <v>69</v>
      </c>
      <c r="D906" t="s">
        <v>93</v>
      </c>
      <c r="E906">
        <v>2220</v>
      </c>
    </row>
    <row r="907" spans="2:5" x14ac:dyDescent="0.3">
      <c r="B907" s="7">
        <v>45808</v>
      </c>
      <c r="C907" t="s">
        <v>69</v>
      </c>
      <c r="D907" t="s">
        <v>94</v>
      </c>
      <c r="E907">
        <v>2035</v>
      </c>
    </row>
    <row r="908" spans="2:5" x14ac:dyDescent="0.3">
      <c r="B908" s="7">
        <v>45808</v>
      </c>
      <c r="C908" t="s">
        <v>69</v>
      </c>
      <c r="D908" t="s">
        <v>95</v>
      </c>
      <c r="E908">
        <v>2590</v>
      </c>
    </row>
    <row r="909" spans="2:5" x14ac:dyDescent="0.3">
      <c r="B909" s="7">
        <v>45808</v>
      </c>
      <c r="C909" t="s">
        <v>69</v>
      </c>
      <c r="D909" t="s">
        <v>96</v>
      </c>
      <c r="E909">
        <v>1480</v>
      </c>
    </row>
    <row r="910" spans="2:5" x14ac:dyDescent="0.3">
      <c r="B910" s="7">
        <v>45808</v>
      </c>
      <c r="C910" t="s">
        <v>69</v>
      </c>
      <c r="D910" t="s">
        <v>97</v>
      </c>
      <c r="E910">
        <v>1480</v>
      </c>
    </row>
    <row r="911" spans="2:5" x14ac:dyDescent="0.3">
      <c r="B911" s="7">
        <v>45808</v>
      </c>
      <c r="C911" t="s">
        <v>69</v>
      </c>
      <c r="D911" t="s">
        <v>98</v>
      </c>
      <c r="E911">
        <v>1110</v>
      </c>
    </row>
    <row r="912" spans="2:5" x14ac:dyDescent="0.3">
      <c r="B912" s="7">
        <v>45808</v>
      </c>
      <c r="C912" t="s">
        <v>69</v>
      </c>
      <c r="D912" t="s">
        <v>99</v>
      </c>
      <c r="E912">
        <v>1295</v>
      </c>
    </row>
    <row r="913" spans="2:5" x14ac:dyDescent="0.3">
      <c r="B913" s="7">
        <v>45808</v>
      </c>
      <c r="C913" t="s">
        <v>69</v>
      </c>
      <c r="D913" t="s">
        <v>100</v>
      </c>
      <c r="E913">
        <v>1110</v>
      </c>
    </row>
    <row r="914" spans="2:5" x14ac:dyDescent="0.3">
      <c r="B914" s="7">
        <v>45808</v>
      </c>
      <c r="C914" t="s">
        <v>69</v>
      </c>
      <c r="D914" t="s">
        <v>101</v>
      </c>
      <c r="E914">
        <v>925</v>
      </c>
    </row>
    <row r="915" spans="2:5" x14ac:dyDescent="0.3">
      <c r="B915" s="7">
        <v>45808</v>
      </c>
      <c r="C915" t="s">
        <v>69</v>
      </c>
      <c r="D915" t="s">
        <v>102</v>
      </c>
      <c r="E915">
        <v>925</v>
      </c>
    </row>
    <row r="916" spans="2:5" x14ac:dyDescent="0.3">
      <c r="B916" s="7">
        <v>45808</v>
      </c>
      <c r="C916" t="s">
        <v>21</v>
      </c>
      <c r="D916" t="s">
        <v>92</v>
      </c>
      <c r="E916">
        <v>1505</v>
      </c>
    </row>
    <row r="917" spans="2:5" x14ac:dyDescent="0.3">
      <c r="B917" s="7">
        <v>45808</v>
      </c>
      <c r="C917" t="s">
        <v>21</v>
      </c>
      <c r="D917" t="s">
        <v>93</v>
      </c>
      <c r="E917">
        <v>1003</v>
      </c>
    </row>
    <row r="918" spans="2:5" x14ac:dyDescent="0.3">
      <c r="B918" s="7">
        <v>45808</v>
      </c>
      <c r="C918" t="s">
        <v>21</v>
      </c>
      <c r="D918" t="s">
        <v>94</v>
      </c>
      <c r="E918">
        <v>920</v>
      </c>
    </row>
    <row r="919" spans="2:5" x14ac:dyDescent="0.3">
      <c r="B919" s="7">
        <v>45808</v>
      </c>
      <c r="C919" t="s">
        <v>21</v>
      </c>
      <c r="D919" t="s">
        <v>95</v>
      </c>
      <c r="E919">
        <v>1171</v>
      </c>
    </row>
    <row r="920" spans="2:5" x14ac:dyDescent="0.3">
      <c r="B920" s="7">
        <v>45808</v>
      </c>
      <c r="C920" t="s">
        <v>21</v>
      </c>
      <c r="D920" t="s">
        <v>96</v>
      </c>
      <c r="E920">
        <v>669</v>
      </c>
    </row>
    <row r="921" spans="2:5" x14ac:dyDescent="0.3">
      <c r="B921" s="7">
        <v>45808</v>
      </c>
      <c r="C921" t="s">
        <v>21</v>
      </c>
      <c r="D921" t="s">
        <v>97</v>
      </c>
      <c r="E921">
        <v>669</v>
      </c>
    </row>
    <row r="922" spans="2:5" x14ac:dyDescent="0.3">
      <c r="B922" s="7">
        <v>45808</v>
      </c>
      <c r="C922" t="s">
        <v>21</v>
      </c>
      <c r="D922" t="s">
        <v>98</v>
      </c>
      <c r="E922">
        <v>502</v>
      </c>
    </row>
    <row r="923" spans="2:5" x14ac:dyDescent="0.3">
      <c r="B923" s="7">
        <v>45808</v>
      </c>
      <c r="C923" t="s">
        <v>21</v>
      </c>
      <c r="D923" t="s">
        <v>99</v>
      </c>
      <c r="E923">
        <v>585</v>
      </c>
    </row>
    <row r="924" spans="2:5" x14ac:dyDescent="0.3">
      <c r="B924" s="7">
        <v>45808</v>
      </c>
      <c r="C924" t="s">
        <v>21</v>
      </c>
      <c r="D924" t="s">
        <v>100</v>
      </c>
      <c r="E924">
        <v>502</v>
      </c>
    </row>
    <row r="925" spans="2:5" x14ac:dyDescent="0.3">
      <c r="B925" s="7">
        <v>45808</v>
      </c>
      <c r="C925" t="s">
        <v>21</v>
      </c>
      <c r="D925" t="s">
        <v>101</v>
      </c>
      <c r="E925">
        <v>418</v>
      </c>
    </row>
    <row r="926" spans="2:5" x14ac:dyDescent="0.3">
      <c r="B926" s="7">
        <v>45808</v>
      </c>
      <c r="C926" t="s">
        <v>21</v>
      </c>
      <c r="D926" t="s">
        <v>102</v>
      </c>
      <c r="E926">
        <v>418</v>
      </c>
    </row>
    <row r="927" spans="2:5" x14ac:dyDescent="0.3">
      <c r="B927" s="7">
        <v>45808</v>
      </c>
      <c r="C927" t="s">
        <v>26</v>
      </c>
      <c r="D927" t="s">
        <v>92</v>
      </c>
      <c r="E927">
        <v>4580</v>
      </c>
    </row>
    <row r="928" spans="2:5" x14ac:dyDescent="0.3">
      <c r="B928" s="7">
        <v>45808</v>
      </c>
      <c r="C928" t="s">
        <v>26</v>
      </c>
      <c r="D928" t="s">
        <v>93</v>
      </c>
      <c r="E928">
        <v>3920</v>
      </c>
    </row>
    <row r="929" spans="2:5" x14ac:dyDescent="0.3">
      <c r="B929" s="7">
        <v>45808</v>
      </c>
      <c r="C929" t="s">
        <v>26</v>
      </c>
      <c r="D929" t="s">
        <v>94</v>
      </c>
      <c r="E929">
        <v>3410</v>
      </c>
    </row>
    <row r="930" spans="2:5" x14ac:dyDescent="0.3">
      <c r="B930" s="7">
        <v>45808</v>
      </c>
      <c r="C930" t="s">
        <v>26</v>
      </c>
      <c r="D930" t="s">
        <v>95</v>
      </c>
      <c r="E930">
        <v>3340</v>
      </c>
    </row>
    <row r="931" spans="2:5" x14ac:dyDescent="0.3">
      <c r="B931" s="7">
        <v>45808</v>
      </c>
      <c r="C931" t="s">
        <v>26</v>
      </c>
      <c r="D931" t="s">
        <v>96</v>
      </c>
      <c r="E931">
        <v>2480</v>
      </c>
    </row>
    <row r="932" spans="2:5" x14ac:dyDescent="0.3">
      <c r="B932" s="7">
        <v>45808</v>
      </c>
      <c r="C932" t="s">
        <v>26</v>
      </c>
      <c r="D932" t="s">
        <v>97</v>
      </c>
      <c r="E932">
        <v>2480</v>
      </c>
    </row>
    <row r="933" spans="2:5" x14ac:dyDescent="0.3">
      <c r="B933" s="7">
        <v>45808</v>
      </c>
      <c r="C933" t="s">
        <v>26</v>
      </c>
      <c r="D933" t="s">
        <v>98</v>
      </c>
      <c r="E933">
        <v>1860</v>
      </c>
    </row>
    <row r="934" spans="2:5" x14ac:dyDescent="0.3">
      <c r="B934" s="7">
        <v>45808</v>
      </c>
      <c r="C934" t="s">
        <v>26</v>
      </c>
      <c r="D934" t="s">
        <v>99</v>
      </c>
      <c r="E934">
        <v>2170</v>
      </c>
    </row>
    <row r="935" spans="2:5" x14ac:dyDescent="0.3">
      <c r="B935" s="7">
        <v>45808</v>
      </c>
      <c r="C935" t="s">
        <v>26</v>
      </c>
      <c r="D935" t="s">
        <v>100</v>
      </c>
      <c r="E935">
        <v>1860</v>
      </c>
    </row>
    <row r="936" spans="2:5" x14ac:dyDescent="0.3">
      <c r="B936" s="7">
        <v>45808</v>
      </c>
      <c r="C936" t="s">
        <v>26</v>
      </c>
      <c r="D936" t="s">
        <v>101</v>
      </c>
      <c r="E936">
        <v>1550</v>
      </c>
    </row>
    <row r="937" spans="2:5" x14ac:dyDescent="0.3">
      <c r="B937" s="7">
        <v>45808</v>
      </c>
      <c r="C937" t="s">
        <v>26</v>
      </c>
      <c r="D937" t="s">
        <v>102</v>
      </c>
      <c r="E937">
        <v>1550</v>
      </c>
    </row>
    <row r="938" spans="2:5" x14ac:dyDescent="0.3">
      <c r="B938" s="7">
        <v>45838</v>
      </c>
      <c r="C938" t="s">
        <v>3</v>
      </c>
      <c r="D938" t="s">
        <v>92</v>
      </c>
      <c r="E938">
        <v>2862</v>
      </c>
    </row>
    <row r="939" spans="2:5" x14ac:dyDescent="0.3">
      <c r="B939" s="7">
        <v>45838</v>
      </c>
      <c r="C939" t="s">
        <v>3</v>
      </c>
      <c r="D939" t="s">
        <v>93</v>
      </c>
      <c r="E939">
        <v>1908</v>
      </c>
    </row>
    <row r="940" spans="2:5" x14ac:dyDescent="0.3">
      <c r="B940" s="7">
        <v>45838</v>
      </c>
      <c r="C940" t="s">
        <v>3</v>
      </c>
      <c r="D940" t="s">
        <v>94</v>
      </c>
      <c r="E940">
        <v>1749</v>
      </c>
    </row>
    <row r="941" spans="2:5" x14ac:dyDescent="0.3">
      <c r="B941" s="7">
        <v>45838</v>
      </c>
      <c r="C941" t="s">
        <v>3</v>
      </c>
      <c r="D941" t="s">
        <v>95</v>
      </c>
      <c r="E941">
        <v>1226</v>
      </c>
    </row>
    <row r="942" spans="2:5" x14ac:dyDescent="0.3">
      <c r="B942" s="7">
        <v>45838</v>
      </c>
      <c r="C942" t="s">
        <v>3</v>
      </c>
      <c r="D942" t="s">
        <v>96</v>
      </c>
      <c r="E942">
        <v>1272</v>
      </c>
    </row>
    <row r="943" spans="2:5" x14ac:dyDescent="0.3">
      <c r="B943" s="7">
        <v>45838</v>
      </c>
      <c r="C943" t="s">
        <v>3</v>
      </c>
      <c r="D943" t="s">
        <v>97</v>
      </c>
      <c r="E943">
        <v>1272</v>
      </c>
    </row>
    <row r="944" spans="2:5" x14ac:dyDescent="0.3">
      <c r="B944" s="7">
        <v>45838</v>
      </c>
      <c r="C944" t="s">
        <v>3</v>
      </c>
      <c r="D944" t="s">
        <v>98</v>
      </c>
      <c r="E944">
        <v>954</v>
      </c>
    </row>
    <row r="945" spans="2:5" x14ac:dyDescent="0.3">
      <c r="B945" s="7">
        <v>45838</v>
      </c>
      <c r="C945" t="s">
        <v>3</v>
      </c>
      <c r="D945" t="s">
        <v>99</v>
      </c>
      <c r="E945">
        <v>1113</v>
      </c>
    </row>
    <row r="946" spans="2:5" x14ac:dyDescent="0.3">
      <c r="B946" s="7">
        <v>45838</v>
      </c>
      <c r="C946" t="s">
        <v>3</v>
      </c>
      <c r="D946" t="s">
        <v>100</v>
      </c>
      <c r="E946">
        <v>954</v>
      </c>
    </row>
    <row r="947" spans="2:5" x14ac:dyDescent="0.3">
      <c r="B947" s="7">
        <v>45838</v>
      </c>
      <c r="C947" t="s">
        <v>3</v>
      </c>
      <c r="D947" t="s">
        <v>101</v>
      </c>
      <c r="E947">
        <v>795</v>
      </c>
    </row>
    <row r="948" spans="2:5" x14ac:dyDescent="0.3">
      <c r="B948" s="7">
        <v>45838</v>
      </c>
      <c r="C948" t="s">
        <v>3</v>
      </c>
      <c r="D948" t="s">
        <v>102</v>
      </c>
      <c r="E948">
        <v>795</v>
      </c>
    </row>
    <row r="949" spans="2:5" x14ac:dyDescent="0.3">
      <c r="B949" s="7">
        <v>45838</v>
      </c>
      <c r="C949" t="s">
        <v>9</v>
      </c>
      <c r="D949" t="s">
        <v>92</v>
      </c>
      <c r="E949">
        <v>2592</v>
      </c>
    </row>
    <row r="950" spans="2:5" x14ac:dyDescent="0.3">
      <c r="B950" s="7">
        <v>45838</v>
      </c>
      <c r="C950" t="s">
        <v>9</v>
      </c>
      <c r="D950" t="s">
        <v>93</v>
      </c>
      <c r="E950">
        <v>1728</v>
      </c>
    </row>
    <row r="951" spans="2:5" x14ac:dyDescent="0.3">
      <c r="B951" s="7">
        <v>45838</v>
      </c>
      <c r="C951" t="s">
        <v>9</v>
      </c>
      <c r="D951" t="s">
        <v>94</v>
      </c>
      <c r="E951">
        <v>1584</v>
      </c>
    </row>
    <row r="952" spans="2:5" x14ac:dyDescent="0.3">
      <c r="B952" s="7">
        <v>45838</v>
      </c>
      <c r="C952" t="s">
        <v>9</v>
      </c>
      <c r="D952" t="s">
        <v>95</v>
      </c>
      <c r="E952">
        <v>2016</v>
      </c>
    </row>
    <row r="953" spans="2:5" x14ac:dyDescent="0.3">
      <c r="B953" s="7">
        <v>45838</v>
      </c>
      <c r="C953" t="s">
        <v>9</v>
      </c>
      <c r="D953" t="s">
        <v>96</v>
      </c>
      <c r="E953">
        <v>1152</v>
      </c>
    </row>
    <row r="954" spans="2:5" x14ac:dyDescent="0.3">
      <c r="B954" s="7">
        <v>45838</v>
      </c>
      <c r="C954" t="s">
        <v>9</v>
      </c>
      <c r="D954" t="s">
        <v>97</v>
      </c>
      <c r="E954">
        <v>1152</v>
      </c>
    </row>
    <row r="955" spans="2:5" x14ac:dyDescent="0.3">
      <c r="B955" s="7">
        <v>45838</v>
      </c>
      <c r="C955" t="s">
        <v>9</v>
      </c>
      <c r="D955" t="s">
        <v>98</v>
      </c>
      <c r="E955">
        <v>864</v>
      </c>
    </row>
    <row r="956" spans="2:5" x14ac:dyDescent="0.3">
      <c r="B956" s="7">
        <v>45838</v>
      </c>
      <c r="C956" t="s">
        <v>9</v>
      </c>
      <c r="D956" t="s">
        <v>99</v>
      </c>
      <c r="E956">
        <v>1008</v>
      </c>
    </row>
    <row r="957" spans="2:5" x14ac:dyDescent="0.3">
      <c r="B957" s="7">
        <v>45838</v>
      </c>
      <c r="C957" t="s">
        <v>9</v>
      </c>
      <c r="D957" t="s">
        <v>100</v>
      </c>
      <c r="E957">
        <v>864</v>
      </c>
    </row>
    <row r="958" spans="2:5" x14ac:dyDescent="0.3">
      <c r="B958" s="7">
        <v>45838</v>
      </c>
      <c r="C958" t="s">
        <v>9</v>
      </c>
      <c r="D958" t="s">
        <v>101</v>
      </c>
      <c r="E958">
        <v>720</v>
      </c>
    </row>
    <row r="959" spans="2:5" x14ac:dyDescent="0.3">
      <c r="B959" s="7">
        <v>45838</v>
      </c>
      <c r="C959" t="s">
        <v>9</v>
      </c>
      <c r="D959" t="s">
        <v>102</v>
      </c>
      <c r="E959">
        <v>720</v>
      </c>
    </row>
    <row r="960" spans="2:5" x14ac:dyDescent="0.3">
      <c r="B960" s="7">
        <v>45838</v>
      </c>
      <c r="C960" t="s">
        <v>69</v>
      </c>
      <c r="D960" t="s">
        <v>92</v>
      </c>
      <c r="E960">
        <v>3600</v>
      </c>
    </row>
    <row r="961" spans="2:5" x14ac:dyDescent="0.3">
      <c r="B961" s="7">
        <v>45838</v>
      </c>
      <c r="C961" t="s">
        <v>69</v>
      </c>
      <c r="D961" t="s">
        <v>93</v>
      </c>
      <c r="E961">
        <v>2400</v>
      </c>
    </row>
    <row r="962" spans="2:5" x14ac:dyDescent="0.3">
      <c r="B962" s="7">
        <v>45838</v>
      </c>
      <c r="C962" t="s">
        <v>69</v>
      </c>
      <c r="D962" t="s">
        <v>94</v>
      </c>
      <c r="E962">
        <v>2200</v>
      </c>
    </row>
    <row r="963" spans="2:5" x14ac:dyDescent="0.3">
      <c r="B963" s="7">
        <v>45838</v>
      </c>
      <c r="C963" t="s">
        <v>69</v>
      </c>
      <c r="D963" t="s">
        <v>95</v>
      </c>
      <c r="E963">
        <v>2800</v>
      </c>
    </row>
    <row r="964" spans="2:5" x14ac:dyDescent="0.3">
      <c r="B964" s="7">
        <v>45838</v>
      </c>
      <c r="C964" t="s">
        <v>69</v>
      </c>
      <c r="D964" t="s">
        <v>96</v>
      </c>
      <c r="E964">
        <v>1600</v>
      </c>
    </row>
    <row r="965" spans="2:5" x14ac:dyDescent="0.3">
      <c r="B965" s="7">
        <v>45838</v>
      </c>
      <c r="C965" t="s">
        <v>69</v>
      </c>
      <c r="D965" t="s">
        <v>97</v>
      </c>
      <c r="E965">
        <v>1600</v>
      </c>
    </row>
    <row r="966" spans="2:5" x14ac:dyDescent="0.3">
      <c r="B966" s="7">
        <v>45838</v>
      </c>
      <c r="C966" t="s">
        <v>69</v>
      </c>
      <c r="D966" t="s">
        <v>98</v>
      </c>
      <c r="E966">
        <v>1200</v>
      </c>
    </row>
    <row r="967" spans="2:5" x14ac:dyDescent="0.3">
      <c r="B967" s="7">
        <v>45838</v>
      </c>
      <c r="C967" t="s">
        <v>69</v>
      </c>
      <c r="D967" t="s">
        <v>99</v>
      </c>
      <c r="E967">
        <v>1400</v>
      </c>
    </row>
    <row r="968" spans="2:5" x14ac:dyDescent="0.3">
      <c r="B968" s="7">
        <v>45838</v>
      </c>
      <c r="C968" t="s">
        <v>69</v>
      </c>
      <c r="D968" t="s">
        <v>100</v>
      </c>
      <c r="E968">
        <v>1200</v>
      </c>
    </row>
    <row r="969" spans="2:5" x14ac:dyDescent="0.3">
      <c r="B969" s="7">
        <v>45838</v>
      </c>
      <c r="C969" t="s">
        <v>69</v>
      </c>
      <c r="D969" t="s">
        <v>101</v>
      </c>
      <c r="E969">
        <v>1000</v>
      </c>
    </row>
    <row r="970" spans="2:5" x14ac:dyDescent="0.3">
      <c r="B970" s="7">
        <v>45838</v>
      </c>
      <c r="C970" t="s">
        <v>69</v>
      </c>
      <c r="D970" t="s">
        <v>102</v>
      </c>
      <c r="E970">
        <v>1000</v>
      </c>
    </row>
    <row r="971" spans="2:5" x14ac:dyDescent="0.3">
      <c r="B971" s="7">
        <v>45838</v>
      </c>
      <c r="C971" t="s">
        <v>21</v>
      </c>
      <c r="D971" t="s">
        <v>92</v>
      </c>
      <c r="E971">
        <v>1292</v>
      </c>
    </row>
    <row r="972" spans="2:5" x14ac:dyDescent="0.3">
      <c r="B972" s="7">
        <v>45838</v>
      </c>
      <c r="C972" t="s">
        <v>21</v>
      </c>
      <c r="D972" t="s">
        <v>93</v>
      </c>
      <c r="E972">
        <v>861</v>
      </c>
    </row>
    <row r="973" spans="2:5" x14ac:dyDescent="0.3">
      <c r="B973" s="7">
        <v>45838</v>
      </c>
      <c r="C973" t="s">
        <v>21</v>
      </c>
      <c r="D973" t="s">
        <v>94</v>
      </c>
      <c r="E973">
        <v>790</v>
      </c>
    </row>
    <row r="974" spans="2:5" x14ac:dyDescent="0.3">
      <c r="B974" s="7">
        <v>45838</v>
      </c>
      <c r="C974" t="s">
        <v>21</v>
      </c>
      <c r="D974" t="s">
        <v>95</v>
      </c>
      <c r="E974">
        <v>1005</v>
      </c>
    </row>
    <row r="975" spans="2:5" x14ac:dyDescent="0.3">
      <c r="B975" s="7">
        <v>45838</v>
      </c>
      <c r="C975" t="s">
        <v>21</v>
      </c>
      <c r="D975" t="s">
        <v>96</v>
      </c>
      <c r="E975">
        <v>574</v>
      </c>
    </row>
    <row r="976" spans="2:5" x14ac:dyDescent="0.3">
      <c r="B976" s="7">
        <v>45838</v>
      </c>
      <c r="C976" t="s">
        <v>21</v>
      </c>
      <c r="D976" t="s">
        <v>97</v>
      </c>
      <c r="E976">
        <v>574</v>
      </c>
    </row>
    <row r="977" spans="2:5" x14ac:dyDescent="0.3">
      <c r="B977" s="7">
        <v>45838</v>
      </c>
      <c r="C977" t="s">
        <v>21</v>
      </c>
      <c r="D977" t="s">
        <v>98</v>
      </c>
      <c r="E977">
        <v>431</v>
      </c>
    </row>
    <row r="978" spans="2:5" x14ac:dyDescent="0.3">
      <c r="B978" s="7">
        <v>45838</v>
      </c>
      <c r="C978" t="s">
        <v>21</v>
      </c>
      <c r="D978" t="s">
        <v>99</v>
      </c>
      <c r="E978">
        <v>502</v>
      </c>
    </row>
    <row r="979" spans="2:5" x14ac:dyDescent="0.3">
      <c r="B979" s="7">
        <v>45838</v>
      </c>
      <c r="C979" t="s">
        <v>21</v>
      </c>
      <c r="D979" t="s">
        <v>100</v>
      </c>
      <c r="E979">
        <v>431</v>
      </c>
    </row>
    <row r="980" spans="2:5" x14ac:dyDescent="0.3">
      <c r="B980" s="7">
        <v>45838</v>
      </c>
      <c r="C980" t="s">
        <v>21</v>
      </c>
      <c r="D980" t="s">
        <v>101</v>
      </c>
      <c r="E980">
        <v>359</v>
      </c>
    </row>
    <row r="981" spans="2:5" x14ac:dyDescent="0.3">
      <c r="B981" s="7">
        <v>45838</v>
      </c>
      <c r="C981" t="s">
        <v>21</v>
      </c>
      <c r="D981" t="s">
        <v>102</v>
      </c>
      <c r="E981">
        <v>359</v>
      </c>
    </row>
    <row r="982" spans="2:5" x14ac:dyDescent="0.3">
      <c r="B982" s="7">
        <v>45838</v>
      </c>
      <c r="C982" t="s">
        <v>26</v>
      </c>
      <c r="D982" t="s">
        <v>92</v>
      </c>
      <c r="E982">
        <v>5760</v>
      </c>
    </row>
    <row r="983" spans="2:5" x14ac:dyDescent="0.3">
      <c r="B983" s="7">
        <v>45838</v>
      </c>
      <c r="C983" t="s">
        <v>26</v>
      </c>
      <c r="D983" t="s">
        <v>93</v>
      </c>
      <c r="E983">
        <v>3840</v>
      </c>
    </row>
    <row r="984" spans="2:5" x14ac:dyDescent="0.3">
      <c r="B984" s="7">
        <v>45838</v>
      </c>
      <c r="C984" t="s">
        <v>26</v>
      </c>
      <c r="D984" t="s">
        <v>94</v>
      </c>
      <c r="E984">
        <v>3520</v>
      </c>
    </row>
    <row r="985" spans="2:5" x14ac:dyDescent="0.3">
      <c r="B985" s="7">
        <v>45838</v>
      </c>
      <c r="C985" t="s">
        <v>26</v>
      </c>
      <c r="D985" t="s">
        <v>95</v>
      </c>
      <c r="E985">
        <v>4480</v>
      </c>
    </row>
    <row r="986" spans="2:5" x14ac:dyDescent="0.3">
      <c r="B986" s="7">
        <v>45838</v>
      </c>
      <c r="C986" t="s">
        <v>26</v>
      </c>
      <c r="D986" t="s">
        <v>96</v>
      </c>
      <c r="E986">
        <v>2560</v>
      </c>
    </row>
    <row r="987" spans="2:5" x14ac:dyDescent="0.3">
      <c r="B987" s="7">
        <v>45838</v>
      </c>
      <c r="C987" t="s">
        <v>26</v>
      </c>
      <c r="D987" t="s">
        <v>97</v>
      </c>
      <c r="E987">
        <v>2560</v>
      </c>
    </row>
    <row r="988" spans="2:5" x14ac:dyDescent="0.3">
      <c r="B988" s="7">
        <v>45838</v>
      </c>
      <c r="C988" t="s">
        <v>26</v>
      </c>
      <c r="D988" t="s">
        <v>98</v>
      </c>
      <c r="E988">
        <v>1920</v>
      </c>
    </row>
    <row r="989" spans="2:5" x14ac:dyDescent="0.3">
      <c r="B989" s="7">
        <v>45838</v>
      </c>
      <c r="C989" t="s">
        <v>26</v>
      </c>
      <c r="D989" t="s">
        <v>99</v>
      </c>
      <c r="E989">
        <v>2240</v>
      </c>
    </row>
    <row r="990" spans="2:5" x14ac:dyDescent="0.3">
      <c r="B990" s="7">
        <v>45838</v>
      </c>
      <c r="C990" t="s">
        <v>26</v>
      </c>
      <c r="D990" t="s">
        <v>100</v>
      </c>
      <c r="E990">
        <v>1920</v>
      </c>
    </row>
    <row r="991" spans="2:5" x14ac:dyDescent="0.3">
      <c r="B991" s="7">
        <v>45838</v>
      </c>
      <c r="C991" t="s">
        <v>26</v>
      </c>
      <c r="D991" t="s">
        <v>101</v>
      </c>
      <c r="E991">
        <v>1600</v>
      </c>
    </row>
    <row r="992" spans="2:5" x14ac:dyDescent="0.3">
      <c r="B992" s="7">
        <v>45838</v>
      </c>
      <c r="C992" t="s">
        <v>26</v>
      </c>
      <c r="D992" t="s">
        <v>102</v>
      </c>
      <c r="E992">
        <v>1600</v>
      </c>
    </row>
    <row r="993" spans="2:5" x14ac:dyDescent="0.3">
      <c r="B993" s="7">
        <v>45869</v>
      </c>
      <c r="C993" t="s">
        <v>3</v>
      </c>
      <c r="D993" t="s">
        <v>92</v>
      </c>
      <c r="E993">
        <v>2922</v>
      </c>
    </row>
    <row r="994" spans="2:5" x14ac:dyDescent="0.3">
      <c r="B994" s="7">
        <v>45869</v>
      </c>
      <c r="C994" t="s">
        <v>3</v>
      </c>
      <c r="D994" t="s">
        <v>93</v>
      </c>
      <c r="E994">
        <v>1948</v>
      </c>
    </row>
    <row r="995" spans="2:5" x14ac:dyDescent="0.3">
      <c r="B995" s="7">
        <v>45869</v>
      </c>
      <c r="C995" t="s">
        <v>3</v>
      </c>
      <c r="D995" t="s">
        <v>94</v>
      </c>
      <c r="E995">
        <v>1785</v>
      </c>
    </row>
    <row r="996" spans="2:5" x14ac:dyDescent="0.3">
      <c r="B996" s="7">
        <v>45869</v>
      </c>
      <c r="C996" t="s">
        <v>3</v>
      </c>
      <c r="D996" t="s">
        <v>95</v>
      </c>
      <c r="E996">
        <v>2272</v>
      </c>
    </row>
    <row r="997" spans="2:5" x14ac:dyDescent="0.3">
      <c r="B997" s="7">
        <v>45869</v>
      </c>
      <c r="C997" t="s">
        <v>3</v>
      </c>
      <c r="D997" t="s">
        <v>96</v>
      </c>
      <c r="E997">
        <v>1298</v>
      </c>
    </row>
    <row r="998" spans="2:5" x14ac:dyDescent="0.3">
      <c r="B998" s="7">
        <v>45869</v>
      </c>
      <c r="C998" t="s">
        <v>3</v>
      </c>
      <c r="D998" t="s">
        <v>97</v>
      </c>
      <c r="E998">
        <v>1298</v>
      </c>
    </row>
    <row r="999" spans="2:5" x14ac:dyDescent="0.3">
      <c r="B999" s="7">
        <v>45869</v>
      </c>
      <c r="C999" t="s">
        <v>3</v>
      </c>
      <c r="D999" t="s">
        <v>98</v>
      </c>
      <c r="E999">
        <v>974</v>
      </c>
    </row>
    <row r="1000" spans="2:5" x14ac:dyDescent="0.3">
      <c r="B1000" s="7">
        <v>45869</v>
      </c>
      <c r="C1000" t="s">
        <v>3</v>
      </c>
      <c r="D1000" t="s">
        <v>99</v>
      </c>
      <c r="E1000">
        <v>1136</v>
      </c>
    </row>
    <row r="1001" spans="2:5" x14ac:dyDescent="0.3">
      <c r="B1001" s="7">
        <v>45869</v>
      </c>
      <c r="C1001" t="s">
        <v>3</v>
      </c>
      <c r="D1001" t="s">
        <v>100</v>
      </c>
      <c r="E1001">
        <v>974</v>
      </c>
    </row>
    <row r="1002" spans="2:5" x14ac:dyDescent="0.3">
      <c r="B1002" s="7">
        <v>45869</v>
      </c>
      <c r="C1002" t="s">
        <v>3</v>
      </c>
      <c r="D1002" t="s">
        <v>101</v>
      </c>
      <c r="E1002">
        <v>812</v>
      </c>
    </row>
    <row r="1003" spans="2:5" x14ac:dyDescent="0.3">
      <c r="B1003" s="7">
        <v>45869</v>
      </c>
      <c r="C1003" t="s">
        <v>3</v>
      </c>
      <c r="D1003" t="s">
        <v>102</v>
      </c>
      <c r="E1003">
        <v>812</v>
      </c>
    </row>
    <row r="1004" spans="2:5" x14ac:dyDescent="0.3">
      <c r="B1004" s="7">
        <v>45869</v>
      </c>
      <c r="C1004" t="s">
        <v>9</v>
      </c>
      <c r="D1004" t="s">
        <v>92</v>
      </c>
      <c r="E1004">
        <v>4004</v>
      </c>
    </row>
    <row r="1005" spans="2:5" x14ac:dyDescent="0.3">
      <c r="B1005" s="7">
        <v>45869</v>
      </c>
      <c r="C1005" t="s">
        <v>9</v>
      </c>
      <c r="D1005" t="s">
        <v>93</v>
      </c>
      <c r="E1005">
        <v>2669</v>
      </c>
    </row>
    <row r="1006" spans="2:5" x14ac:dyDescent="0.3">
      <c r="B1006" s="7">
        <v>45869</v>
      </c>
      <c r="C1006" t="s">
        <v>9</v>
      </c>
      <c r="D1006" t="s">
        <v>94</v>
      </c>
      <c r="E1006">
        <v>2447</v>
      </c>
    </row>
    <row r="1007" spans="2:5" x14ac:dyDescent="0.3">
      <c r="B1007" s="7">
        <v>45869</v>
      </c>
      <c r="C1007" t="s">
        <v>9</v>
      </c>
      <c r="D1007" t="s">
        <v>95</v>
      </c>
      <c r="E1007">
        <v>3114</v>
      </c>
    </row>
    <row r="1008" spans="2:5" x14ac:dyDescent="0.3">
      <c r="B1008" s="7">
        <v>45869</v>
      </c>
      <c r="C1008" t="s">
        <v>9</v>
      </c>
      <c r="D1008" t="s">
        <v>96</v>
      </c>
      <c r="E1008">
        <v>1779</v>
      </c>
    </row>
    <row r="1009" spans="2:5" x14ac:dyDescent="0.3">
      <c r="B1009" s="7">
        <v>45869</v>
      </c>
      <c r="C1009" t="s">
        <v>9</v>
      </c>
      <c r="D1009" t="s">
        <v>97</v>
      </c>
      <c r="E1009">
        <v>1779</v>
      </c>
    </row>
    <row r="1010" spans="2:5" x14ac:dyDescent="0.3">
      <c r="B1010" s="7">
        <v>45869</v>
      </c>
      <c r="C1010" t="s">
        <v>9</v>
      </c>
      <c r="D1010" t="s">
        <v>98</v>
      </c>
      <c r="E1010">
        <v>1335</v>
      </c>
    </row>
    <row r="1011" spans="2:5" x14ac:dyDescent="0.3">
      <c r="B1011" s="7">
        <v>45869</v>
      </c>
      <c r="C1011" t="s">
        <v>9</v>
      </c>
      <c r="D1011" t="s">
        <v>99</v>
      </c>
      <c r="E1011">
        <v>1557</v>
      </c>
    </row>
    <row r="1012" spans="2:5" x14ac:dyDescent="0.3">
      <c r="B1012" s="7">
        <v>45869</v>
      </c>
      <c r="C1012" t="s">
        <v>9</v>
      </c>
      <c r="D1012" t="s">
        <v>100</v>
      </c>
      <c r="E1012">
        <v>1335</v>
      </c>
    </row>
    <row r="1013" spans="2:5" x14ac:dyDescent="0.3">
      <c r="B1013" s="7">
        <v>45869</v>
      </c>
      <c r="C1013" t="s">
        <v>9</v>
      </c>
      <c r="D1013" t="s">
        <v>101</v>
      </c>
      <c r="E1013">
        <v>1112</v>
      </c>
    </row>
    <row r="1014" spans="2:5" x14ac:dyDescent="0.3">
      <c r="B1014" s="7">
        <v>45869</v>
      </c>
      <c r="C1014" t="s">
        <v>9</v>
      </c>
      <c r="D1014" t="s">
        <v>102</v>
      </c>
      <c r="E1014">
        <v>1112</v>
      </c>
    </row>
    <row r="1015" spans="2:5" x14ac:dyDescent="0.3">
      <c r="B1015" s="7">
        <v>45869</v>
      </c>
      <c r="C1015" t="s">
        <v>69</v>
      </c>
      <c r="D1015" t="s">
        <v>92</v>
      </c>
      <c r="E1015">
        <v>3960</v>
      </c>
    </row>
    <row r="1016" spans="2:5" x14ac:dyDescent="0.3">
      <c r="B1016" s="7">
        <v>45869</v>
      </c>
      <c r="C1016" t="s">
        <v>69</v>
      </c>
      <c r="D1016" t="s">
        <v>93</v>
      </c>
      <c r="E1016">
        <v>2640</v>
      </c>
    </row>
    <row r="1017" spans="2:5" x14ac:dyDescent="0.3">
      <c r="B1017" s="7">
        <v>45869</v>
      </c>
      <c r="C1017" t="s">
        <v>69</v>
      </c>
      <c r="D1017" t="s">
        <v>94</v>
      </c>
      <c r="E1017">
        <v>2420</v>
      </c>
    </row>
    <row r="1018" spans="2:5" x14ac:dyDescent="0.3">
      <c r="B1018" s="7">
        <v>45869</v>
      </c>
      <c r="C1018" t="s">
        <v>69</v>
      </c>
      <c r="D1018" t="s">
        <v>95</v>
      </c>
      <c r="E1018">
        <v>2080</v>
      </c>
    </row>
    <row r="1019" spans="2:5" x14ac:dyDescent="0.3">
      <c r="B1019" s="7">
        <v>45869</v>
      </c>
      <c r="C1019" t="s">
        <v>69</v>
      </c>
      <c r="D1019" t="s">
        <v>96</v>
      </c>
      <c r="E1019">
        <v>1760</v>
      </c>
    </row>
    <row r="1020" spans="2:5" x14ac:dyDescent="0.3">
      <c r="B1020" s="7">
        <v>45869</v>
      </c>
      <c r="C1020" t="s">
        <v>69</v>
      </c>
      <c r="D1020" t="s">
        <v>97</v>
      </c>
      <c r="E1020">
        <v>1760</v>
      </c>
    </row>
    <row r="1021" spans="2:5" x14ac:dyDescent="0.3">
      <c r="B1021" s="7">
        <v>45869</v>
      </c>
      <c r="C1021" t="s">
        <v>69</v>
      </c>
      <c r="D1021" t="s">
        <v>98</v>
      </c>
      <c r="E1021">
        <v>1320</v>
      </c>
    </row>
    <row r="1022" spans="2:5" x14ac:dyDescent="0.3">
      <c r="B1022" s="7">
        <v>45869</v>
      </c>
      <c r="C1022" t="s">
        <v>69</v>
      </c>
      <c r="D1022" t="s">
        <v>99</v>
      </c>
      <c r="E1022">
        <v>1540</v>
      </c>
    </row>
    <row r="1023" spans="2:5" x14ac:dyDescent="0.3">
      <c r="B1023" s="7">
        <v>45869</v>
      </c>
      <c r="C1023" t="s">
        <v>69</v>
      </c>
      <c r="D1023" t="s">
        <v>100</v>
      </c>
      <c r="E1023">
        <v>1320</v>
      </c>
    </row>
    <row r="1024" spans="2:5" x14ac:dyDescent="0.3">
      <c r="B1024" s="7">
        <v>45869</v>
      </c>
      <c r="C1024" t="s">
        <v>69</v>
      </c>
      <c r="D1024" t="s">
        <v>101</v>
      </c>
      <c r="E1024">
        <v>2100</v>
      </c>
    </row>
    <row r="1025" spans="2:5" x14ac:dyDescent="0.3">
      <c r="B1025" s="7">
        <v>45869</v>
      </c>
      <c r="C1025" t="s">
        <v>69</v>
      </c>
      <c r="D1025" t="s">
        <v>102</v>
      </c>
      <c r="E1025">
        <v>1100</v>
      </c>
    </row>
    <row r="1026" spans="2:5" x14ac:dyDescent="0.3">
      <c r="B1026" s="7">
        <v>45869</v>
      </c>
      <c r="C1026" t="s">
        <v>21</v>
      </c>
      <c r="D1026" t="s">
        <v>92</v>
      </c>
      <c r="E1026">
        <v>2021</v>
      </c>
    </row>
    <row r="1027" spans="2:5" x14ac:dyDescent="0.3">
      <c r="B1027" s="7">
        <v>45869</v>
      </c>
      <c r="C1027" t="s">
        <v>21</v>
      </c>
      <c r="D1027" t="s">
        <v>93</v>
      </c>
      <c r="E1027">
        <v>1347</v>
      </c>
    </row>
    <row r="1028" spans="2:5" x14ac:dyDescent="0.3">
      <c r="B1028" s="7">
        <v>45869</v>
      </c>
      <c r="C1028" t="s">
        <v>21</v>
      </c>
      <c r="D1028" t="s">
        <v>94</v>
      </c>
      <c r="E1028">
        <v>1235</v>
      </c>
    </row>
    <row r="1029" spans="2:5" x14ac:dyDescent="0.3">
      <c r="B1029" s="7">
        <v>45869</v>
      </c>
      <c r="C1029" t="s">
        <v>21</v>
      </c>
      <c r="D1029" t="s">
        <v>95</v>
      </c>
      <c r="E1029">
        <v>1572</v>
      </c>
    </row>
    <row r="1030" spans="2:5" x14ac:dyDescent="0.3">
      <c r="B1030" s="7">
        <v>45869</v>
      </c>
      <c r="C1030" t="s">
        <v>21</v>
      </c>
      <c r="D1030" t="s">
        <v>96</v>
      </c>
      <c r="E1030">
        <v>898</v>
      </c>
    </row>
    <row r="1031" spans="2:5" x14ac:dyDescent="0.3">
      <c r="B1031" s="7">
        <v>45869</v>
      </c>
      <c r="C1031" t="s">
        <v>21</v>
      </c>
      <c r="D1031" t="s">
        <v>97</v>
      </c>
      <c r="E1031">
        <v>898</v>
      </c>
    </row>
    <row r="1032" spans="2:5" x14ac:dyDescent="0.3">
      <c r="B1032" s="7">
        <v>45869</v>
      </c>
      <c r="C1032" t="s">
        <v>21</v>
      </c>
      <c r="D1032" t="s">
        <v>98</v>
      </c>
      <c r="E1032">
        <v>674</v>
      </c>
    </row>
    <row r="1033" spans="2:5" x14ac:dyDescent="0.3">
      <c r="B1033" s="7">
        <v>45869</v>
      </c>
      <c r="C1033" t="s">
        <v>21</v>
      </c>
      <c r="D1033" t="s">
        <v>99</v>
      </c>
      <c r="E1033">
        <v>786</v>
      </c>
    </row>
    <row r="1034" spans="2:5" x14ac:dyDescent="0.3">
      <c r="B1034" s="7">
        <v>45869</v>
      </c>
      <c r="C1034" t="s">
        <v>21</v>
      </c>
      <c r="D1034" t="s">
        <v>100</v>
      </c>
      <c r="E1034">
        <v>674</v>
      </c>
    </row>
    <row r="1035" spans="2:5" x14ac:dyDescent="0.3">
      <c r="B1035" s="7">
        <v>45869</v>
      </c>
      <c r="C1035" t="s">
        <v>21</v>
      </c>
      <c r="D1035" t="s">
        <v>101</v>
      </c>
      <c r="E1035">
        <v>561</v>
      </c>
    </row>
    <row r="1036" spans="2:5" x14ac:dyDescent="0.3">
      <c r="B1036" s="7">
        <v>45869</v>
      </c>
      <c r="C1036" t="s">
        <v>21</v>
      </c>
      <c r="D1036" t="s">
        <v>102</v>
      </c>
      <c r="E1036">
        <v>561</v>
      </c>
    </row>
    <row r="1037" spans="2:5" x14ac:dyDescent="0.3">
      <c r="B1037" s="7">
        <v>45869</v>
      </c>
      <c r="C1037" t="s">
        <v>26</v>
      </c>
      <c r="D1037" t="s">
        <v>92</v>
      </c>
      <c r="E1037">
        <v>5940</v>
      </c>
    </row>
    <row r="1038" spans="2:5" x14ac:dyDescent="0.3">
      <c r="B1038" s="7">
        <v>45869</v>
      </c>
      <c r="C1038" t="s">
        <v>26</v>
      </c>
      <c r="D1038" t="s">
        <v>93</v>
      </c>
      <c r="E1038">
        <v>3960</v>
      </c>
    </row>
    <row r="1039" spans="2:5" x14ac:dyDescent="0.3">
      <c r="B1039" s="7">
        <v>45869</v>
      </c>
      <c r="C1039" t="s">
        <v>26</v>
      </c>
      <c r="D1039" t="s">
        <v>94</v>
      </c>
      <c r="E1039">
        <v>3630</v>
      </c>
    </row>
    <row r="1040" spans="2:5" x14ac:dyDescent="0.3">
      <c r="B1040" s="7">
        <v>45869</v>
      </c>
      <c r="C1040" t="s">
        <v>26</v>
      </c>
      <c r="D1040" t="s">
        <v>95</v>
      </c>
      <c r="E1040">
        <v>4620</v>
      </c>
    </row>
    <row r="1041" spans="2:5" x14ac:dyDescent="0.3">
      <c r="B1041" s="7">
        <v>45869</v>
      </c>
      <c r="C1041" t="s">
        <v>26</v>
      </c>
      <c r="D1041" t="s">
        <v>96</v>
      </c>
      <c r="E1041">
        <v>2640</v>
      </c>
    </row>
    <row r="1042" spans="2:5" x14ac:dyDescent="0.3">
      <c r="B1042" s="7">
        <v>45869</v>
      </c>
      <c r="C1042" t="s">
        <v>26</v>
      </c>
      <c r="D1042" t="s">
        <v>97</v>
      </c>
      <c r="E1042">
        <v>2640</v>
      </c>
    </row>
    <row r="1043" spans="2:5" x14ac:dyDescent="0.3">
      <c r="B1043" s="7">
        <v>45869</v>
      </c>
      <c r="C1043" t="s">
        <v>26</v>
      </c>
      <c r="D1043" t="s">
        <v>98</v>
      </c>
      <c r="E1043">
        <v>1980</v>
      </c>
    </row>
    <row r="1044" spans="2:5" x14ac:dyDescent="0.3">
      <c r="B1044" s="7">
        <v>45869</v>
      </c>
      <c r="C1044" t="s">
        <v>26</v>
      </c>
      <c r="D1044" t="s">
        <v>99</v>
      </c>
      <c r="E1044">
        <v>2310</v>
      </c>
    </row>
    <row r="1045" spans="2:5" x14ac:dyDescent="0.3">
      <c r="B1045" s="7">
        <v>45869</v>
      </c>
      <c r="C1045" t="s">
        <v>26</v>
      </c>
      <c r="D1045" t="s">
        <v>100</v>
      </c>
      <c r="E1045">
        <v>1980</v>
      </c>
    </row>
    <row r="1046" spans="2:5" x14ac:dyDescent="0.3">
      <c r="B1046" s="7">
        <v>45869</v>
      </c>
      <c r="C1046" t="s">
        <v>26</v>
      </c>
      <c r="D1046" t="s">
        <v>101</v>
      </c>
      <c r="E1046">
        <v>1650</v>
      </c>
    </row>
    <row r="1047" spans="2:5" x14ac:dyDescent="0.3">
      <c r="B1047" s="7">
        <v>45869</v>
      </c>
      <c r="C1047" t="s">
        <v>26</v>
      </c>
      <c r="D1047" t="s">
        <v>102</v>
      </c>
      <c r="E1047">
        <v>1650</v>
      </c>
    </row>
    <row r="1048" spans="2:5" x14ac:dyDescent="0.3">
      <c r="B1048" s="7">
        <v>45900</v>
      </c>
      <c r="C1048" t="s">
        <v>3</v>
      </c>
      <c r="D1048" t="s">
        <v>92</v>
      </c>
      <c r="E1048">
        <v>3214</v>
      </c>
    </row>
    <row r="1049" spans="2:5" x14ac:dyDescent="0.3">
      <c r="B1049" s="7">
        <v>45900</v>
      </c>
      <c r="C1049" t="s">
        <v>3</v>
      </c>
      <c r="D1049" t="s">
        <v>93</v>
      </c>
      <c r="E1049">
        <v>3143</v>
      </c>
    </row>
    <row r="1050" spans="2:5" x14ac:dyDescent="0.3">
      <c r="B1050" s="7">
        <v>45900</v>
      </c>
      <c r="C1050" t="s">
        <v>3</v>
      </c>
      <c r="D1050" t="s">
        <v>94</v>
      </c>
      <c r="E1050">
        <v>1964</v>
      </c>
    </row>
    <row r="1051" spans="2:5" x14ac:dyDescent="0.3">
      <c r="B1051" s="7">
        <v>45900</v>
      </c>
      <c r="C1051" t="s">
        <v>3</v>
      </c>
      <c r="D1051" t="s">
        <v>95</v>
      </c>
      <c r="E1051">
        <v>2500</v>
      </c>
    </row>
    <row r="1052" spans="2:5" x14ac:dyDescent="0.3">
      <c r="B1052" s="7">
        <v>45900</v>
      </c>
      <c r="C1052" t="s">
        <v>3</v>
      </c>
      <c r="D1052" t="s">
        <v>96</v>
      </c>
      <c r="E1052">
        <v>1428</v>
      </c>
    </row>
    <row r="1053" spans="2:5" x14ac:dyDescent="0.3">
      <c r="B1053" s="7">
        <v>45900</v>
      </c>
      <c r="C1053" t="s">
        <v>3</v>
      </c>
      <c r="D1053" t="s">
        <v>97</v>
      </c>
      <c r="E1053">
        <v>1428</v>
      </c>
    </row>
    <row r="1054" spans="2:5" x14ac:dyDescent="0.3">
      <c r="B1054" s="7">
        <v>45900</v>
      </c>
      <c r="C1054" t="s">
        <v>3</v>
      </c>
      <c r="D1054" t="s">
        <v>98</v>
      </c>
      <c r="E1054">
        <v>1071</v>
      </c>
    </row>
    <row r="1055" spans="2:5" x14ac:dyDescent="0.3">
      <c r="B1055" s="7">
        <v>45900</v>
      </c>
      <c r="C1055" t="s">
        <v>3</v>
      </c>
      <c r="D1055" t="s">
        <v>99</v>
      </c>
      <c r="E1055">
        <v>1250</v>
      </c>
    </row>
    <row r="1056" spans="2:5" x14ac:dyDescent="0.3">
      <c r="B1056" s="7">
        <v>45900</v>
      </c>
      <c r="C1056" t="s">
        <v>3</v>
      </c>
      <c r="D1056" t="s">
        <v>100</v>
      </c>
      <c r="E1056">
        <v>1071</v>
      </c>
    </row>
    <row r="1057" spans="2:5" x14ac:dyDescent="0.3">
      <c r="B1057" s="7">
        <v>45900</v>
      </c>
      <c r="C1057" t="s">
        <v>3</v>
      </c>
      <c r="D1057" t="s">
        <v>101</v>
      </c>
      <c r="E1057">
        <v>893</v>
      </c>
    </row>
    <row r="1058" spans="2:5" x14ac:dyDescent="0.3">
      <c r="B1058" s="7">
        <v>45900</v>
      </c>
      <c r="C1058" t="s">
        <v>3</v>
      </c>
      <c r="D1058" t="s">
        <v>102</v>
      </c>
      <c r="E1058">
        <v>893</v>
      </c>
    </row>
    <row r="1059" spans="2:5" x14ac:dyDescent="0.3">
      <c r="B1059" s="7">
        <v>45900</v>
      </c>
      <c r="C1059" t="s">
        <v>9</v>
      </c>
      <c r="D1059" t="s">
        <v>92</v>
      </c>
      <c r="E1059">
        <v>4248</v>
      </c>
    </row>
    <row r="1060" spans="2:5" x14ac:dyDescent="0.3">
      <c r="B1060" s="7">
        <v>45900</v>
      </c>
      <c r="C1060" t="s">
        <v>9</v>
      </c>
      <c r="D1060" t="s">
        <v>93</v>
      </c>
      <c r="E1060">
        <v>2832</v>
      </c>
    </row>
    <row r="1061" spans="2:5" x14ac:dyDescent="0.3">
      <c r="B1061" s="7">
        <v>45900</v>
      </c>
      <c r="C1061" t="s">
        <v>9</v>
      </c>
      <c r="D1061" t="s">
        <v>94</v>
      </c>
      <c r="E1061">
        <v>2596</v>
      </c>
    </row>
    <row r="1062" spans="2:5" x14ac:dyDescent="0.3">
      <c r="B1062" s="7">
        <v>45900</v>
      </c>
      <c r="C1062" t="s">
        <v>9</v>
      </c>
      <c r="D1062" t="s">
        <v>95</v>
      </c>
      <c r="E1062">
        <v>3304</v>
      </c>
    </row>
    <row r="1063" spans="2:5" x14ac:dyDescent="0.3">
      <c r="B1063" s="7">
        <v>45900</v>
      </c>
      <c r="C1063" t="s">
        <v>9</v>
      </c>
      <c r="D1063" t="s">
        <v>96</v>
      </c>
      <c r="E1063">
        <v>1888</v>
      </c>
    </row>
    <row r="1064" spans="2:5" x14ac:dyDescent="0.3">
      <c r="B1064" s="7">
        <v>45900</v>
      </c>
      <c r="C1064" t="s">
        <v>9</v>
      </c>
      <c r="D1064" t="s">
        <v>97</v>
      </c>
      <c r="E1064">
        <v>1888</v>
      </c>
    </row>
    <row r="1065" spans="2:5" x14ac:dyDescent="0.3">
      <c r="B1065" s="7">
        <v>45900</v>
      </c>
      <c r="C1065" t="s">
        <v>9</v>
      </c>
      <c r="D1065" t="s">
        <v>98</v>
      </c>
      <c r="E1065">
        <v>1416</v>
      </c>
    </row>
    <row r="1066" spans="2:5" x14ac:dyDescent="0.3">
      <c r="B1066" s="7">
        <v>45900</v>
      </c>
      <c r="C1066" t="s">
        <v>9</v>
      </c>
      <c r="D1066" t="s">
        <v>99</v>
      </c>
      <c r="E1066">
        <v>1652</v>
      </c>
    </row>
    <row r="1067" spans="2:5" x14ac:dyDescent="0.3">
      <c r="B1067" s="7">
        <v>45900</v>
      </c>
      <c r="C1067" t="s">
        <v>9</v>
      </c>
      <c r="D1067" t="s">
        <v>100</v>
      </c>
      <c r="E1067">
        <v>1416</v>
      </c>
    </row>
    <row r="1068" spans="2:5" x14ac:dyDescent="0.3">
      <c r="B1068" s="7">
        <v>45900</v>
      </c>
      <c r="C1068" t="s">
        <v>9</v>
      </c>
      <c r="D1068" t="s">
        <v>101</v>
      </c>
      <c r="E1068">
        <v>1180</v>
      </c>
    </row>
    <row r="1069" spans="2:5" x14ac:dyDescent="0.3">
      <c r="B1069" s="7">
        <v>45900</v>
      </c>
      <c r="C1069" t="s">
        <v>9</v>
      </c>
      <c r="D1069" t="s">
        <v>102</v>
      </c>
      <c r="E1069">
        <v>1180</v>
      </c>
    </row>
    <row r="1070" spans="2:5" x14ac:dyDescent="0.3">
      <c r="B1070" s="7">
        <v>45900</v>
      </c>
      <c r="C1070" t="s">
        <v>69</v>
      </c>
      <c r="D1070" t="s">
        <v>92</v>
      </c>
      <c r="E1070">
        <v>3780</v>
      </c>
    </row>
    <row r="1071" spans="2:5" x14ac:dyDescent="0.3">
      <c r="B1071" s="7">
        <v>45900</v>
      </c>
      <c r="C1071" t="s">
        <v>69</v>
      </c>
      <c r="D1071" t="s">
        <v>93</v>
      </c>
      <c r="E1071">
        <v>2520</v>
      </c>
    </row>
    <row r="1072" spans="2:5" x14ac:dyDescent="0.3">
      <c r="B1072" s="7">
        <v>45900</v>
      </c>
      <c r="C1072" t="s">
        <v>69</v>
      </c>
      <c r="D1072" t="s">
        <v>94</v>
      </c>
      <c r="E1072">
        <v>2310</v>
      </c>
    </row>
    <row r="1073" spans="2:5" x14ac:dyDescent="0.3">
      <c r="B1073" s="7">
        <v>45900</v>
      </c>
      <c r="C1073" t="s">
        <v>69</v>
      </c>
      <c r="D1073" t="s">
        <v>95</v>
      </c>
      <c r="E1073">
        <v>2940</v>
      </c>
    </row>
    <row r="1074" spans="2:5" x14ac:dyDescent="0.3">
      <c r="B1074" s="7">
        <v>45900</v>
      </c>
      <c r="C1074" t="s">
        <v>69</v>
      </c>
      <c r="D1074" t="s">
        <v>96</v>
      </c>
      <c r="E1074">
        <v>1680</v>
      </c>
    </row>
    <row r="1075" spans="2:5" x14ac:dyDescent="0.3">
      <c r="B1075" s="7">
        <v>45900</v>
      </c>
      <c r="C1075" t="s">
        <v>69</v>
      </c>
      <c r="D1075" t="s">
        <v>97</v>
      </c>
      <c r="E1075">
        <v>1680</v>
      </c>
    </row>
    <row r="1076" spans="2:5" x14ac:dyDescent="0.3">
      <c r="B1076" s="7">
        <v>45900</v>
      </c>
      <c r="C1076" t="s">
        <v>69</v>
      </c>
      <c r="D1076" t="s">
        <v>98</v>
      </c>
      <c r="E1076">
        <v>1260</v>
      </c>
    </row>
    <row r="1077" spans="2:5" x14ac:dyDescent="0.3">
      <c r="B1077" s="7">
        <v>45900</v>
      </c>
      <c r="C1077" t="s">
        <v>69</v>
      </c>
      <c r="D1077" t="s">
        <v>99</v>
      </c>
      <c r="E1077">
        <v>1470</v>
      </c>
    </row>
    <row r="1078" spans="2:5" x14ac:dyDescent="0.3">
      <c r="B1078" s="7">
        <v>45900</v>
      </c>
      <c r="C1078" t="s">
        <v>69</v>
      </c>
      <c r="D1078" t="s">
        <v>100</v>
      </c>
      <c r="E1078">
        <v>1260</v>
      </c>
    </row>
    <row r="1079" spans="2:5" x14ac:dyDescent="0.3">
      <c r="B1079" s="7">
        <v>45900</v>
      </c>
      <c r="C1079" t="s">
        <v>69</v>
      </c>
      <c r="D1079" t="s">
        <v>101</v>
      </c>
      <c r="E1079">
        <v>1050</v>
      </c>
    </row>
    <row r="1080" spans="2:5" x14ac:dyDescent="0.3">
      <c r="B1080" s="7">
        <v>45900</v>
      </c>
      <c r="C1080" t="s">
        <v>69</v>
      </c>
      <c r="D1080" t="s">
        <v>102</v>
      </c>
      <c r="E1080">
        <v>1050</v>
      </c>
    </row>
    <row r="1081" spans="2:5" x14ac:dyDescent="0.3">
      <c r="B1081" s="7">
        <v>45900</v>
      </c>
      <c r="C1081" t="s">
        <v>21</v>
      </c>
      <c r="D1081" t="s">
        <v>92</v>
      </c>
      <c r="E1081">
        <v>2210</v>
      </c>
    </row>
    <row r="1082" spans="2:5" x14ac:dyDescent="0.3">
      <c r="B1082" s="7">
        <v>45900</v>
      </c>
      <c r="C1082" t="s">
        <v>21</v>
      </c>
      <c r="D1082" t="s">
        <v>93</v>
      </c>
      <c r="E1082">
        <v>2473</v>
      </c>
    </row>
    <row r="1083" spans="2:5" x14ac:dyDescent="0.3">
      <c r="B1083" s="7">
        <v>45900</v>
      </c>
      <c r="C1083" t="s">
        <v>21</v>
      </c>
      <c r="D1083" t="s">
        <v>94</v>
      </c>
      <c r="E1083">
        <v>1350</v>
      </c>
    </row>
    <row r="1084" spans="2:5" x14ac:dyDescent="0.3">
      <c r="B1084" s="7">
        <v>45900</v>
      </c>
      <c r="C1084" t="s">
        <v>21</v>
      </c>
      <c r="D1084" t="s">
        <v>95</v>
      </c>
      <c r="E1084">
        <v>1319</v>
      </c>
    </row>
    <row r="1085" spans="2:5" x14ac:dyDescent="0.3">
      <c r="B1085" s="7">
        <v>45900</v>
      </c>
      <c r="C1085" t="s">
        <v>21</v>
      </c>
      <c r="D1085" t="s">
        <v>96</v>
      </c>
      <c r="E1085">
        <v>982</v>
      </c>
    </row>
    <row r="1086" spans="2:5" x14ac:dyDescent="0.3">
      <c r="B1086" s="7">
        <v>45900</v>
      </c>
      <c r="C1086" t="s">
        <v>21</v>
      </c>
      <c r="D1086" t="s">
        <v>97</v>
      </c>
      <c r="E1086">
        <v>982</v>
      </c>
    </row>
    <row r="1087" spans="2:5" x14ac:dyDescent="0.3">
      <c r="B1087" s="7">
        <v>45900</v>
      </c>
      <c r="C1087" t="s">
        <v>21</v>
      </c>
      <c r="D1087" t="s">
        <v>98</v>
      </c>
      <c r="E1087">
        <v>736</v>
      </c>
    </row>
    <row r="1088" spans="2:5" x14ac:dyDescent="0.3">
      <c r="B1088" s="7">
        <v>45900</v>
      </c>
      <c r="C1088" t="s">
        <v>21</v>
      </c>
      <c r="D1088" t="s">
        <v>99</v>
      </c>
      <c r="E1088">
        <v>859</v>
      </c>
    </row>
    <row r="1089" spans="2:5" x14ac:dyDescent="0.3">
      <c r="B1089" s="7">
        <v>45900</v>
      </c>
      <c r="C1089" t="s">
        <v>21</v>
      </c>
      <c r="D1089" t="s">
        <v>100</v>
      </c>
      <c r="E1089">
        <v>736</v>
      </c>
    </row>
    <row r="1090" spans="2:5" x14ac:dyDescent="0.3">
      <c r="B1090" s="7">
        <v>45900</v>
      </c>
      <c r="C1090" t="s">
        <v>21</v>
      </c>
      <c r="D1090" t="s">
        <v>101</v>
      </c>
      <c r="E1090">
        <v>614</v>
      </c>
    </row>
    <row r="1091" spans="2:5" x14ac:dyDescent="0.3">
      <c r="B1091" s="7">
        <v>45900</v>
      </c>
      <c r="C1091" t="s">
        <v>21</v>
      </c>
      <c r="D1091" t="s">
        <v>102</v>
      </c>
      <c r="E1091">
        <v>614</v>
      </c>
    </row>
    <row r="1092" spans="2:5" x14ac:dyDescent="0.3">
      <c r="B1092" s="7">
        <v>45900</v>
      </c>
      <c r="C1092" t="s">
        <v>26</v>
      </c>
      <c r="D1092" t="s">
        <v>92</v>
      </c>
      <c r="E1092">
        <v>5400</v>
      </c>
    </row>
    <row r="1093" spans="2:5" x14ac:dyDescent="0.3">
      <c r="B1093" s="7">
        <v>45900</v>
      </c>
      <c r="C1093" t="s">
        <v>26</v>
      </c>
      <c r="D1093" t="s">
        <v>93</v>
      </c>
      <c r="E1093">
        <v>3600</v>
      </c>
    </row>
    <row r="1094" spans="2:5" x14ac:dyDescent="0.3">
      <c r="B1094" s="7">
        <v>45900</v>
      </c>
      <c r="C1094" t="s">
        <v>26</v>
      </c>
      <c r="D1094" t="s">
        <v>94</v>
      </c>
      <c r="E1094">
        <v>3300</v>
      </c>
    </row>
    <row r="1095" spans="2:5" x14ac:dyDescent="0.3">
      <c r="B1095" s="7">
        <v>45900</v>
      </c>
      <c r="C1095" t="s">
        <v>26</v>
      </c>
      <c r="D1095" t="s">
        <v>95</v>
      </c>
      <c r="E1095">
        <v>4200</v>
      </c>
    </row>
    <row r="1096" spans="2:5" x14ac:dyDescent="0.3">
      <c r="B1096" s="7">
        <v>45900</v>
      </c>
      <c r="C1096" t="s">
        <v>26</v>
      </c>
      <c r="D1096" t="s">
        <v>96</v>
      </c>
      <c r="E1096">
        <v>2400</v>
      </c>
    </row>
    <row r="1097" spans="2:5" x14ac:dyDescent="0.3">
      <c r="B1097" s="7">
        <v>45900</v>
      </c>
      <c r="C1097" t="s">
        <v>26</v>
      </c>
      <c r="D1097" t="s">
        <v>97</v>
      </c>
      <c r="E1097">
        <v>2400</v>
      </c>
    </row>
    <row r="1098" spans="2:5" x14ac:dyDescent="0.3">
      <c r="B1098" s="7">
        <v>45900</v>
      </c>
      <c r="C1098" t="s">
        <v>26</v>
      </c>
      <c r="D1098" t="s">
        <v>98</v>
      </c>
      <c r="E1098">
        <v>1800</v>
      </c>
    </row>
    <row r="1099" spans="2:5" x14ac:dyDescent="0.3">
      <c r="B1099" s="7">
        <v>45900</v>
      </c>
      <c r="C1099" t="s">
        <v>26</v>
      </c>
      <c r="D1099" t="s">
        <v>99</v>
      </c>
      <c r="E1099">
        <v>2100</v>
      </c>
    </row>
    <row r="1100" spans="2:5" x14ac:dyDescent="0.3">
      <c r="B1100" s="7">
        <v>45900</v>
      </c>
      <c r="C1100" t="s">
        <v>26</v>
      </c>
      <c r="D1100" t="s">
        <v>100</v>
      </c>
      <c r="E1100">
        <v>1800</v>
      </c>
    </row>
    <row r="1101" spans="2:5" x14ac:dyDescent="0.3">
      <c r="B1101" s="7">
        <v>45900</v>
      </c>
      <c r="C1101" t="s">
        <v>26</v>
      </c>
      <c r="D1101" t="s">
        <v>101</v>
      </c>
      <c r="E1101">
        <v>1500</v>
      </c>
    </row>
    <row r="1102" spans="2:5" x14ac:dyDescent="0.3">
      <c r="B1102" s="7">
        <v>45900</v>
      </c>
      <c r="C1102" t="s">
        <v>26</v>
      </c>
      <c r="D1102" t="s">
        <v>102</v>
      </c>
      <c r="E1102">
        <v>1500</v>
      </c>
    </row>
    <row r="1103" spans="2:5" x14ac:dyDescent="0.3">
      <c r="B1103" s="7">
        <v>45930</v>
      </c>
      <c r="C1103" t="s">
        <v>3</v>
      </c>
      <c r="D1103" t="s">
        <v>92</v>
      </c>
      <c r="E1103">
        <v>3402</v>
      </c>
    </row>
    <row r="1104" spans="2:5" x14ac:dyDescent="0.3">
      <c r="B1104" s="7">
        <v>45930</v>
      </c>
      <c r="C1104" t="s">
        <v>3</v>
      </c>
      <c r="D1104" t="s">
        <v>93</v>
      </c>
      <c r="E1104">
        <v>2268</v>
      </c>
    </row>
    <row r="1105" spans="2:5" x14ac:dyDescent="0.3">
      <c r="B1105" s="7">
        <v>45930</v>
      </c>
      <c r="C1105" t="s">
        <v>3</v>
      </c>
      <c r="D1105" t="s">
        <v>94</v>
      </c>
      <c r="E1105">
        <v>2079</v>
      </c>
    </row>
    <row r="1106" spans="2:5" x14ac:dyDescent="0.3">
      <c r="B1106" s="7">
        <v>45930</v>
      </c>
      <c r="C1106" t="s">
        <v>3</v>
      </c>
      <c r="D1106" t="s">
        <v>95</v>
      </c>
      <c r="E1106">
        <v>2646</v>
      </c>
    </row>
    <row r="1107" spans="2:5" x14ac:dyDescent="0.3">
      <c r="B1107" s="7">
        <v>45930</v>
      </c>
      <c r="C1107" t="s">
        <v>3</v>
      </c>
      <c r="D1107" t="s">
        <v>96</v>
      </c>
      <c r="E1107">
        <v>1512</v>
      </c>
    </row>
    <row r="1108" spans="2:5" x14ac:dyDescent="0.3">
      <c r="B1108" s="7">
        <v>45930</v>
      </c>
      <c r="C1108" t="s">
        <v>3</v>
      </c>
      <c r="D1108" t="s">
        <v>97</v>
      </c>
      <c r="E1108">
        <v>1512</v>
      </c>
    </row>
    <row r="1109" spans="2:5" x14ac:dyDescent="0.3">
      <c r="B1109" s="7">
        <v>45930</v>
      </c>
      <c r="C1109" t="s">
        <v>3</v>
      </c>
      <c r="D1109" t="s">
        <v>98</v>
      </c>
      <c r="E1109">
        <v>1134</v>
      </c>
    </row>
    <row r="1110" spans="2:5" x14ac:dyDescent="0.3">
      <c r="B1110" s="7">
        <v>45930</v>
      </c>
      <c r="C1110" t="s">
        <v>3</v>
      </c>
      <c r="D1110" t="s">
        <v>99</v>
      </c>
      <c r="E1110">
        <v>1323</v>
      </c>
    </row>
    <row r="1111" spans="2:5" x14ac:dyDescent="0.3">
      <c r="B1111" s="7">
        <v>45930</v>
      </c>
      <c r="C1111" t="s">
        <v>3</v>
      </c>
      <c r="D1111" t="s">
        <v>100</v>
      </c>
      <c r="E1111">
        <v>1134</v>
      </c>
    </row>
    <row r="1112" spans="2:5" x14ac:dyDescent="0.3">
      <c r="B1112" s="7">
        <v>45930</v>
      </c>
      <c r="C1112" t="s">
        <v>3</v>
      </c>
      <c r="D1112" t="s">
        <v>101</v>
      </c>
      <c r="E1112">
        <v>945</v>
      </c>
    </row>
    <row r="1113" spans="2:5" x14ac:dyDescent="0.3">
      <c r="B1113" s="7">
        <v>45930</v>
      </c>
      <c r="C1113" t="s">
        <v>3</v>
      </c>
      <c r="D1113" t="s">
        <v>102</v>
      </c>
      <c r="E1113">
        <v>945</v>
      </c>
    </row>
    <row r="1114" spans="2:5" x14ac:dyDescent="0.3">
      <c r="B1114" s="7">
        <v>45930</v>
      </c>
      <c r="C1114" t="s">
        <v>9</v>
      </c>
      <c r="D1114" t="s">
        <v>92</v>
      </c>
      <c r="E1114">
        <v>4464</v>
      </c>
    </row>
    <row r="1115" spans="2:5" x14ac:dyDescent="0.3">
      <c r="B1115" s="7">
        <v>45930</v>
      </c>
      <c r="C1115" t="s">
        <v>9</v>
      </c>
      <c r="D1115" t="s">
        <v>93</v>
      </c>
      <c r="E1115">
        <v>3976</v>
      </c>
    </row>
    <row r="1116" spans="2:5" x14ac:dyDescent="0.3">
      <c r="B1116" s="7">
        <v>45930</v>
      </c>
      <c r="C1116" t="s">
        <v>9</v>
      </c>
      <c r="D1116" t="s">
        <v>94</v>
      </c>
      <c r="E1116">
        <v>2728</v>
      </c>
    </row>
    <row r="1117" spans="2:5" x14ac:dyDescent="0.3">
      <c r="B1117" s="7">
        <v>45930</v>
      </c>
      <c r="C1117" t="s">
        <v>9</v>
      </c>
      <c r="D1117" t="s">
        <v>95</v>
      </c>
      <c r="E1117">
        <v>3472</v>
      </c>
    </row>
    <row r="1118" spans="2:5" x14ac:dyDescent="0.3">
      <c r="B1118" s="7">
        <v>45930</v>
      </c>
      <c r="C1118" t="s">
        <v>9</v>
      </c>
      <c r="D1118" t="s">
        <v>96</v>
      </c>
      <c r="E1118">
        <v>1984</v>
      </c>
    </row>
    <row r="1119" spans="2:5" x14ac:dyDescent="0.3">
      <c r="B1119" s="7">
        <v>45930</v>
      </c>
      <c r="C1119" t="s">
        <v>9</v>
      </c>
      <c r="D1119" t="s">
        <v>97</v>
      </c>
      <c r="E1119">
        <v>1984</v>
      </c>
    </row>
    <row r="1120" spans="2:5" x14ac:dyDescent="0.3">
      <c r="B1120" s="7">
        <v>45930</v>
      </c>
      <c r="C1120" t="s">
        <v>9</v>
      </c>
      <c r="D1120" t="s">
        <v>98</v>
      </c>
      <c r="E1120">
        <v>1488</v>
      </c>
    </row>
    <row r="1121" spans="2:5" x14ac:dyDescent="0.3">
      <c r="B1121" s="7">
        <v>45930</v>
      </c>
      <c r="C1121" t="s">
        <v>9</v>
      </c>
      <c r="D1121" t="s">
        <v>99</v>
      </c>
      <c r="E1121">
        <v>1936</v>
      </c>
    </row>
    <row r="1122" spans="2:5" x14ac:dyDescent="0.3">
      <c r="B1122" s="7">
        <v>45930</v>
      </c>
      <c r="C1122" t="s">
        <v>9</v>
      </c>
      <c r="D1122" t="s">
        <v>100</v>
      </c>
      <c r="E1122">
        <v>1488</v>
      </c>
    </row>
    <row r="1123" spans="2:5" x14ac:dyDescent="0.3">
      <c r="B1123" s="7">
        <v>45930</v>
      </c>
      <c r="C1123" t="s">
        <v>9</v>
      </c>
      <c r="D1123" t="s">
        <v>101</v>
      </c>
      <c r="E1123">
        <v>1240</v>
      </c>
    </row>
    <row r="1124" spans="2:5" x14ac:dyDescent="0.3">
      <c r="B1124" s="7">
        <v>45930</v>
      </c>
      <c r="C1124" t="s">
        <v>9</v>
      </c>
      <c r="D1124" t="s">
        <v>102</v>
      </c>
      <c r="E1124">
        <v>1240</v>
      </c>
    </row>
    <row r="1125" spans="2:5" x14ac:dyDescent="0.3">
      <c r="B1125" s="7">
        <v>45930</v>
      </c>
      <c r="C1125" t="s">
        <v>69</v>
      </c>
      <c r="D1125" t="s">
        <v>92</v>
      </c>
      <c r="E1125">
        <v>2240</v>
      </c>
    </row>
    <row r="1126" spans="2:5" x14ac:dyDescent="0.3">
      <c r="B1126" s="7">
        <v>45930</v>
      </c>
      <c r="C1126" t="s">
        <v>69</v>
      </c>
      <c r="D1126" t="s">
        <v>93</v>
      </c>
      <c r="E1126">
        <v>2560</v>
      </c>
    </row>
    <row r="1127" spans="2:5" x14ac:dyDescent="0.3">
      <c r="B1127" s="7">
        <v>45930</v>
      </c>
      <c r="C1127" t="s">
        <v>69</v>
      </c>
      <c r="D1127" t="s">
        <v>94</v>
      </c>
      <c r="E1127">
        <v>1980</v>
      </c>
    </row>
    <row r="1128" spans="2:5" x14ac:dyDescent="0.3">
      <c r="B1128" s="7">
        <v>45930</v>
      </c>
      <c r="C1128" t="s">
        <v>69</v>
      </c>
      <c r="D1128" t="s">
        <v>95</v>
      </c>
      <c r="E1128">
        <v>1520</v>
      </c>
    </row>
    <row r="1129" spans="2:5" x14ac:dyDescent="0.3">
      <c r="B1129" s="7">
        <v>45930</v>
      </c>
      <c r="C1129" t="s">
        <v>69</v>
      </c>
      <c r="D1129" t="s">
        <v>96</v>
      </c>
      <c r="E1129">
        <v>1440</v>
      </c>
    </row>
    <row r="1130" spans="2:5" x14ac:dyDescent="0.3">
      <c r="B1130" s="7">
        <v>45930</v>
      </c>
      <c r="C1130" t="s">
        <v>69</v>
      </c>
      <c r="D1130" t="s">
        <v>97</v>
      </c>
      <c r="E1130">
        <v>1440</v>
      </c>
    </row>
    <row r="1131" spans="2:5" x14ac:dyDescent="0.3">
      <c r="B1131" s="7">
        <v>45930</v>
      </c>
      <c r="C1131" t="s">
        <v>69</v>
      </c>
      <c r="D1131" t="s">
        <v>98</v>
      </c>
      <c r="E1131">
        <v>1080</v>
      </c>
    </row>
    <row r="1132" spans="2:5" x14ac:dyDescent="0.3">
      <c r="B1132" s="7">
        <v>45930</v>
      </c>
      <c r="C1132" t="s">
        <v>69</v>
      </c>
      <c r="D1132" t="s">
        <v>99</v>
      </c>
      <c r="E1132">
        <v>1260</v>
      </c>
    </row>
    <row r="1133" spans="2:5" x14ac:dyDescent="0.3">
      <c r="B1133" s="7">
        <v>45930</v>
      </c>
      <c r="C1133" t="s">
        <v>69</v>
      </c>
      <c r="D1133" t="s">
        <v>100</v>
      </c>
      <c r="E1133">
        <v>1080</v>
      </c>
    </row>
    <row r="1134" spans="2:5" x14ac:dyDescent="0.3">
      <c r="B1134" s="7">
        <v>45930</v>
      </c>
      <c r="C1134" t="s">
        <v>69</v>
      </c>
      <c r="D1134" t="s">
        <v>101</v>
      </c>
      <c r="E1134">
        <v>900</v>
      </c>
    </row>
    <row r="1135" spans="2:5" x14ac:dyDescent="0.3">
      <c r="B1135" s="7">
        <v>45930</v>
      </c>
      <c r="C1135" t="s">
        <v>69</v>
      </c>
      <c r="D1135" t="s">
        <v>102</v>
      </c>
      <c r="E1135">
        <v>900</v>
      </c>
    </row>
    <row r="1136" spans="2:5" x14ac:dyDescent="0.3">
      <c r="B1136" s="7">
        <v>45930</v>
      </c>
      <c r="C1136" t="s">
        <v>21</v>
      </c>
      <c r="D1136" t="s">
        <v>92</v>
      </c>
      <c r="E1136">
        <v>2340</v>
      </c>
    </row>
    <row r="1137" spans="2:5" x14ac:dyDescent="0.3">
      <c r="B1137" s="7">
        <v>45930</v>
      </c>
      <c r="C1137" t="s">
        <v>21</v>
      </c>
      <c r="D1137" t="s">
        <v>93</v>
      </c>
      <c r="E1137">
        <v>1560</v>
      </c>
    </row>
    <row r="1138" spans="2:5" x14ac:dyDescent="0.3">
      <c r="B1138" s="7">
        <v>45930</v>
      </c>
      <c r="C1138" t="s">
        <v>21</v>
      </c>
      <c r="D1138" t="s">
        <v>94</v>
      </c>
      <c r="E1138">
        <v>1430</v>
      </c>
    </row>
    <row r="1139" spans="2:5" x14ac:dyDescent="0.3">
      <c r="B1139" s="7">
        <v>45930</v>
      </c>
      <c r="C1139" t="s">
        <v>21</v>
      </c>
      <c r="D1139" t="s">
        <v>95</v>
      </c>
      <c r="E1139">
        <v>1820</v>
      </c>
    </row>
    <row r="1140" spans="2:5" x14ac:dyDescent="0.3">
      <c r="B1140" s="7">
        <v>45930</v>
      </c>
      <c r="C1140" t="s">
        <v>21</v>
      </c>
      <c r="D1140" t="s">
        <v>96</v>
      </c>
      <c r="E1140">
        <v>1040</v>
      </c>
    </row>
    <row r="1141" spans="2:5" x14ac:dyDescent="0.3">
      <c r="B1141" s="7">
        <v>45930</v>
      </c>
      <c r="C1141" t="s">
        <v>21</v>
      </c>
      <c r="D1141" t="s">
        <v>97</v>
      </c>
      <c r="E1141">
        <v>1040</v>
      </c>
    </row>
    <row r="1142" spans="2:5" x14ac:dyDescent="0.3">
      <c r="B1142" s="7">
        <v>45930</v>
      </c>
      <c r="C1142" t="s">
        <v>21</v>
      </c>
      <c r="D1142" t="s">
        <v>98</v>
      </c>
      <c r="E1142">
        <v>780</v>
      </c>
    </row>
    <row r="1143" spans="2:5" x14ac:dyDescent="0.3">
      <c r="B1143" s="7">
        <v>45930</v>
      </c>
      <c r="C1143" t="s">
        <v>21</v>
      </c>
      <c r="D1143" t="s">
        <v>99</v>
      </c>
      <c r="E1143">
        <v>910</v>
      </c>
    </row>
    <row r="1144" spans="2:5" x14ac:dyDescent="0.3">
      <c r="B1144" s="7">
        <v>45930</v>
      </c>
      <c r="C1144" t="s">
        <v>21</v>
      </c>
      <c r="D1144" t="s">
        <v>100</v>
      </c>
      <c r="E1144">
        <v>780</v>
      </c>
    </row>
    <row r="1145" spans="2:5" x14ac:dyDescent="0.3">
      <c r="B1145" s="7">
        <v>45930</v>
      </c>
      <c r="C1145" t="s">
        <v>21</v>
      </c>
      <c r="D1145" t="s">
        <v>101</v>
      </c>
      <c r="E1145">
        <v>650</v>
      </c>
    </row>
    <row r="1146" spans="2:5" x14ac:dyDescent="0.3">
      <c r="B1146" s="7">
        <v>45930</v>
      </c>
      <c r="C1146" t="s">
        <v>21</v>
      </c>
      <c r="D1146" t="s">
        <v>102</v>
      </c>
      <c r="E1146">
        <v>650</v>
      </c>
    </row>
    <row r="1147" spans="2:5" x14ac:dyDescent="0.3">
      <c r="B1147" s="7">
        <v>45930</v>
      </c>
      <c r="C1147" t="s">
        <v>26</v>
      </c>
      <c r="D1147" t="s">
        <v>92</v>
      </c>
      <c r="E1147">
        <v>4580</v>
      </c>
    </row>
    <row r="1148" spans="2:5" x14ac:dyDescent="0.3">
      <c r="B1148" s="7">
        <v>45930</v>
      </c>
      <c r="C1148" t="s">
        <v>26</v>
      </c>
      <c r="D1148" t="s">
        <v>93</v>
      </c>
      <c r="E1148">
        <v>3720</v>
      </c>
    </row>
    <row r="1149" spans="2:5" x14ac:dyDescent="0.3">
      <c r="B1149" s="7">
        <v>45930</v>
      </c>
      <c r="C1149" t="s">
        <v>26</v>
      </c>
      <c r="D1149" t="s">
        <v>94</v>
      </c>
      <c r="E1149">
        <v>3410</v>
      </c>
    </row>
    <row r="1150" spans="2:5" x14ac:dyDescent="0.3">
      <c r="B1150" s="7">
        <v>45930</v>
      </c>
      <c r="C1150" t="s">
        <v>26</v>
      </c>
      <c r="D1150" t="s">
        <v>95</v>
      </c>
      <c r="E1150">
        <v>4340</v>
      </c>
    </row>
    <row r="1151" spans="2:5" x14ac:dyDescent="0.3">
      <c r="B1151" s="7">
        <v>45930</v>
      </c>
      <c r="C1151" t="s">
        <v>26</v>
      </c>
      <c r="D1151" t="s">
        <v>96</v>
      </c>
      <c r="E1151">
        <v>2480</v>
      </c>
    </row>
    <row r="1152" spans="2:5" x14ac:dyDescent="0.3">
      <c r="B1152" s="7">
        <v>45930</v>
      </c>
      <c r="C1152" t="s">
        <v>26</v>
      </c>
      <c r="D1152" t="s">
        <v>97</v>
      </c>
      <c r="E1152">
        <v>2480</v>
      </c>
    </row>
    <row r="1153" spans="2:5" x14ac:dyDescent="0.3">
      <c r="B1153" s="7">
        <v>45930</v>
      </c>
      <c r="C1153" t="s">
        <v>26</v>
      </c>
      <c r="D1153" t="s">
        <v>98</v>
      </c>
      <c r="E1153">
        <v>1860</v>
      </c>
    </row>
    <row r="1154" spans="2:5" x14ac:dyDescent="0.3">
      <c r="B1154" s="7">
        <v>45930</v>
      </c>
      <c r="C1154" t="s">
        <v>26</v>
      </c>
      <c r="D1154" t="s">
        <v>99</v>
      </c>
      <c r="E1154">
        <v>2170</v>
      </c>
    </row>
    <row r="1155" spans="2:5" x14ac:dyDescent="0.3">
      <c r="B1155" s="7">
        <v>45930</v>
      </c>
      <c r="C1155" t="s">
        <v>26</v>
      </c>
      <c r="D1155" t="s">
        <v>100</v>
      </c>
      <c r="E1155">
        <v>1860</v>
      </c>
    </row>
    <row r="1156" spans="2:5" x14ac:dyDescent="0.3">
      <c r="B1156" s="7">
        <v>45930</v>
      </c>
      <c r="C1156" t="s">
        <v>26</v>
      </c>
      <c r="D1156" t="s">
        <v>101</v>
      </c>
      <c r="E1156">
        <v>1550</v>
      </c>
    </row>
    <row r="1157" spans="2:5" x14ac:dyDescent="0.3">
      <c r="B1157" s="7">
        <v>45930</v>
      </c>
      <c r="C1157" t="s">
        <v>26</v>
      </c>
      <c r="D1157" t="s">
        <v>102</v>
      </c>
      <c r="E1157">
        <v>1550</v>
      </c>
    </row>
    <row r="1158" spans="2:5" x14ac:dyDescent="0.3">
      <c r="B1158" s="7">
        <v>45961</v>
      </c>
      <c r="C1158" t="s">
        <v>3</v>
      </c>
      <c r="D1158" t="s">
        <v>92</v>
      </c>
      <c r="E1158">
        <v>4808</v>
      </c>
    </row>
    <row r="1159" spans="2:5" x14ac:dyDescent="0.3">
      <c r="B1159" s="7">
        <v>45961</v>
      </c>
      <c r="C1159" t="s">
        <v>3</v>
      </c>
      <c r="D1159" t="s">
        <v>93</v>
      </c>
      <c r="E1159">
        <v>3206</v>
      </c>
    </row>
    <row r="1160" spans="2:5" x14ac:dyDescent="0.3">
      <c r="B1160" s="7">
        <v>45961</v>
      </c>
      <c r="C1160" t="s">
        <v>3</v>
      </c>
      <c r="D1160" t="s">
        <v>94</v>
      </c>
      <c r="E1160">
        <v>2938</v>
      </c>
    </row>
    <row r="1161" spans="2:5" x14ac:dyDescent="0.3">
      <c r="B1161" s="7">
        <v>45961</v>
      </c>
      <c r="C1161" t="s">
        <v>3</v>
      </c>
      <c r="D1161" t="s">
        <v>95</v>
      </c>
      <c r="E1161">
        <v>3740</v>
      </c>
    </row>
    <row r="1162" spans="2:5" x14ac:dyDescent="0.3">
      <c r="B1162" s="7">
        <v>45961</v>
      </c>
      <c r="C1162" t="s">
        <v>3</v>
      </c>
      <c r="D1162" t="s">
        <v>96</v>
      </c>
      <c r="E1162">
        <v>2137</v>
      </c>
    </row>
    <row r="1163" spans="2:5" x14ac:dyDescent="0.3">
      <c r="B1163" s="7">
        <v>45961</v>
      </c>
      <c r="C1163" t="s">
        <v>3</v>
      </c>
      <c r="D1163" t="s">
        <v>97</v>
      </c>
      <c r="E1163">
        <v>2137</v>
      </c>
    </row>
    <row r="1164" spans="2:5" x14ac:dyDescent="0.3">
      <c r="B1164" s="7">
        <v>45961</v>
      </c>
      <c r="C1164" t="s">
        <v>3</v>
      </c>
      <c r="D1164" t="s">
        <v>98</v>
      </c>
      <c r="E1164">
        <v>1603</v>
      </c>
    </row>
    <row r="1165" spans="2:5" x14ac:dyDescent="0.3">
      <c r="B1165" s="7">
        <v>45961</v>
      </c>
      <c r="C1165" t="s">
        <v>3</v>
      </c>
      <c r="D1165" t="s">
        <v>99</v>
      </c>
      <c r="E1165">
        <v>1870</v>
      </c>
    </row>
    <row r="1166" spans="2:5" x14ac:dyDescent="0.3">
      <c r="B1166" s="7">
        <v>45961</v>
      </c>
      <c r="C1166" t="s">
        <v>3</v>
      </c>
      <c r="D1166" t="s">
        <v>100</v>
      </c>
      <c r="E1166">
        <v>1603</v>
      </c>
    </row>
    <row r="1167" spans="2:5" x14ac:dyDescent="0.3">
      <c r="B1167" s="7">
        <v>45961</v>
      </c>
      <c r="C1167" t="s">
        <v>3</v>
      </c>
      <c r="D1167" t="s">
        <v>101</v>
      </c>
      <c r="E1167">
        <v>1336</v>
      </c>
    </row>
    <row r="1168" spans="2:5" x14ac:dyDescent="0.3">
      <c r="B1168" s="7">
        <v>45961</v>
      </c>
      <c r="C1168" t="s">
        <v>3</v>
      </c>
      <c r="D1168" t="s">
        <v>102</v>
      </c>
      <c r="E1168">
        <v>1336</v>
      </c>
    </row>
    <row r="1169" spans="2:5" x14ac:dyDescent="0.3">
      <c r="B1169" s="7">
        <v>45961</v>
      </c>
      <c r="C1169" t="s">
        <v>9</v>
      </c>
      <c r="D1169" t="s">
        <v>92</v>
      </c>
      <c r="E1169">
        <v>5830</v>
      </c>
    </row>
    <row r="1170" spans="2:5" x14ac:dyDescent="0.3">
      <c r="B1170" s="7">
        <v>45961</v>
      </c>
      <c r="C1170" t="s">
        <v>9</v>
      </c>
      <c r="D1170" t="s">
        <v>93</v>
      </c>
      <c r="E1170">
        <v>4886</v>
      </c>
    </row>
    <row r="1171" spans="2:5" x14ac:dyDescent="0.3">
      <c r="B1171" s="7">
        <v>45961</v>
      </c>
      <c r="C1171" t="s">
        <v>9</v>
      </c>
      <c r="D1171" t="s">
        <v>94</v>
      </c>
      <c r="E1171">
        <v>3563</v>
      </c>
    </row>
    <row r="1172" spans="2:5" x14ac:dyDescent="0.3">
      <c r="B1172" s="7">
        <v>45961</v>
      </c>
      <c r="C1172" t="s">
        <v>9</v>
      </c>
      <c r="D1172" t="s">
        <v>95</v>
      </c>
      <c r="E1172">
        <v>4534</v>
      </c>
    </row>
    <row r="1173" spans="2:5" x14ac:dyDescent="0.3">
      <c r="B1173" s="7">
        <v>45961</v>
      </c>
      <c r="C1173" t="s">
        <v>9</v>
      </c>
      <c r="D1173" t="s">
        <v>96</v>
      </c>
      <c r="E1173">
        <v>2591</v>
      </c>
    </row>
    <row r="1174" spans="2:5" x14ac:dyDescent="0.3">
      <c r="B1174" s="7">
        <v>45961</v>
      </c>
      <c r="C1174" t="s">
        <v>9</v>
      </c>
      <c r="D1174" t="s">
        <v>97</v>
      </c>
      <c r="E1174">
        <v>2591</v>
      </c>
    </row>
    <row r="1175" spans="2:5" x14ac:dyDescent="0.3">
      <c r="B1175" s="7">
        <v>45961</v>
      </c>
      <c r="C1175" t="s">
        <v>9</v>
      </c>
      <c r="D1175" t="s">
        <v>98</v>
      </c>
      <c r="E1175">
        <v>1943</v>
      </c>
    </row>
    <row r="1176" spans="2:5" x14ac:dyDescent="0.3">
      <c r="B1176" s="7">
        <v>45961</v>
      </c>
      <c r="C1176" t="s">
        <v>9</v>
      </c>
      <c r="D1176" t="s">
        <v>99</v>
      </c>
      <c r="E1176">
        <v>2267</v>
      </c>
    </row>
    <row r="1177" spans="2:5" x14ac:dyDescent="0.3">
      <c r="B1177" s="7">
        <v>45961</v>
      </c>
      <c r="C1177" t="s">
        <v>9</v>
      </c>
      <c r="D1177" t="s">
        <v>100</v>
      </c>
      <c r="E1177">
        <v>1943</v>
      </c>
    </row>
    <row r="1178" spans="2:5" x14ac:dyDescent="0.3">
      <c r="B1178" s="7">
        <v>45961</v>
      </c>
      <c r="C1178" t="s">
        <v>9</v>
      </c>
      <c r="D1178" t="s">
        <v>101</v>
      </c>
      <c r="E1178">
        <v>1619</v>
      </c>
    </row>
    <row r="1179" spans="2:5" x14ac:dyDescent="0.3">
      <c r="B1179" s="7">
        <v>45961</v>
      </c>
      <c r="C1179" t="s">
        <v>9</v>
      </c>
      <c r="D1179" t="s">
        <v>102</v>
      </c>
      <c r="E1179">
        <v>619</v>
      </c>
    </row>
    <row r="1180" spans="2:5" x14ac:dyDescent="0.3">
      <c r="B1180" s="7">
        <v>45961</v>
      </c>
      <c r="C1180" t="s">
        <v>69</v>
      </c>
      <c r="D1180" t="s">
        <v>92</v>
      </c>
      <c r="E1180">
        <v>3420</v>
      </c>
    </row>
    <row r="1181" spans="2:5" x14ac:dyDescent="0.3">
      <c r="B1181" s="7">
        <v>45961</v>
      </c>
      <c r="C1181" t="s">
        <v>69</v>
      </c>
      <c r="D1181" t="s">
        <v>93</v>
      </c>
      <c r="E1181">
        <v>2280</v>
      </c>
    </row>
    <row r="1182" spans="2:5" x14ac:dyDescent="0.3">
      <c r="B1182" s="7">
        <v>45961</v>
      </c>
      <c r="C1182" t="s">
        <v>69</v>
      </c>
      <c r="D1182" t="s">
        <v>94</v>
      </c>
      <c r="E1182">
        <v>2090</v>
      </c>
    </row>
    <row r="1183" spans="2:5" x14ac:dyDescent="0.3">
      <c r="B1183" s="7">
        <v>45961</v>
      </c>
      <c r="C1183" t="s">
        <v>69</v>
      </c>
      <c r="D1183" t="s">
        <v>95</v>
      </c>
      <c r="E1183">
        <v>2660</v>
      </c>
    </row>
    <row r="1184" spans="2:5" x14ac:dyDescent="0.3">
      <c r="B1184" s="7">
        <v>45961</v>
      </c>
      <c r="C1184" t="s">
        <v>69</v>
      </c>
      <c r="D1184" t="s">
        <v>96</v>
      </c>
      <c r="E1184">
        <v>1520</v>
      </c>
    </row>
    <row r="1185" spans="2:5" x14ac:dyDescent="0.3">
      <c r="B1185" s="7">
        <v>45961</v>
      </c>
      <c r="C1185" t="s">
        <v>69</v>
      </c>
      <c r="D1185" t="s">
        <v>97</v>
      </c>
      <c r="E1185">
        <v>1520</v>
      </c>
    </row>
    <row r="1186" spans="2:5" x14ac:dyDescent="0.3">
      <c r="B1186" s="7">
        <v>45961</v>
      </c>
      <c r="C1186" t="s">
        <v>69</v>
      </c>
      <c r="D1186" t="s">
        <v>98</v>
      </c>
      <c r="E1186">
        <v>1140</v>
      </c>
    </row>
    <row r="1187" spans="2:5" x14ac:dyDescent="0.3">
      <c r="B1187" s="7">
        <v>45961</v>
      </c>
      <c r="C1187" t="s">
        <v>69</v>
      </c>
      <c r="D1187" t="s">
        <v>99</v>
      </c>
      <c r="E1187">
        <v>1330</v>
      </c>
    </row>
    <row r="1188" spans="2:5" x14ac:dyDescent="0.3">
      <c r="B1188" s="7">
        <v>45961</v>
      </c>
      <c r="C1188" t="s">
        <v>69</v>
      </c>
      <c r="D1188" t="s">
        <v>100</v>
      </c>
      <c r="E1188">
        <v>1140</v>
      </c>
    </row>
    <row r="1189" spans="2:5" x14ac:dyDescent="0.3">
      <c r="B1189" s="7">
        <v>45961</v>
      </c>
      <c r="C1189" t="s">
        <v>69</v>
      </c>
      <c r="D1189" t="s">
        <v>101</v>
      </c>
      <c r="E1189">
        <v>950</v>
      </c>
    </row>
    <row r="1190" spans="2:5" x14ac:dyDescent="0.3">
      <c r="B1190" s="7">
        <v>45961</v>
      </c>
      <c r="C1190" t="s">
        <v>69</v>
      </c>
      <c r="D1190" t="s">
        <v>102</v>
      </c>
      <c r="E1190">
        <v>750</v>
      </c>
    </row>
    <row r="1191" spans="2:5" x14ac:dyDescent="0.3">
      <c r="B1191" s="7">
        <v>45961</v>
      </c>
      <c r="C1191" t="s">
        <v>21</v>
      </c>
      <c r="D1191" t="s">
        <v>92</v>
      </c>
      <c r="E1191">
        <v>2868</v>
      </c>
    </row>
    <row r="1192" spans="2:5" x14ac:dyDescent="0.3">
      <c r="B1192" s="7">
        <v>45961</v>
      </c>
      <c r="C1192" t="s">
        <v>21</v>
      </c>
      <c r="D1192" t="s">
        <v>93</v>
      </c>
      <c r="E1192">
        <v>2612</v>
      </c>
    </row>
    <row r="1193" spans="2:5" x14ac:dyDescent="0.3">
      <c r="B1193" s="7">
        <v>45961</v>
      </c>
      <c r="C1193" t="s">
        <v>21</v>
      </c>
      <c r="D1193" t="s">
        <v>94</v>
      </c>
      <c r="E1193">
        <v>1753</v>
      </c>
    </row>
    <row r="1194" spans="2:5" x14ac:dyDescent="0.3">
      <c r="B1194" s="7">
        <v>45961</v>
      </c>
      <c r="C1194" t="s">
        <v>21</v>
      </c>
      <c r="D1194" t="s">
        <v>95</v>
      </c>
      <c r="E1194">
        <v>2031</v>
      </c>
    </row>
    <row r="1195" spans="2:5" x14ac:dyDescent="0.3">
      <c r="B1195" s="7">
        <v>45961</v>
      </c>
      <c r="C1195" t="s">
        <v>21</v>
      </c>
      <c r="D1195" t="s">
        <v>96</v>
      </c>
      <c r="E1195">
        <v>1275</v>
      </c>
    </row>
    <row r="1196" spans="2:5" x14ac:dyDescent="0.3">
      <c r="B1196" s="7">
        <v>45961</v>
      </c>
      <c r="C1196" t="s">
        <v>21</v>
      </c>
      <c r="D1196" t="s">
        <v>97</v>
      </c>
      <c r="E1196">
        <v>1275</v>
      </c>
    </row>
    <row r="1197" spans="2:5" x14ac:dyDescent="0.3">
      <c r="B1197" s="7">
        <v>45961</v>
      </c>
      <c r="C1197" t="s">
        <v>21</v>
      </c>
      <c r="D1197" t="s">
        <v>98</v>
      </c>
      <c r="E1197">
        <v>956</v>
      </c>
    </row>
    <row r="1198" spans="2:5" x14ac:dyDescent="0.3">
      <c r="B1198" s="7">
        <v>45961</v>
      </c>
      <c r="C1198" t="s">
        <v>21</v>
      </c>
      <c r="D1198" t="s">
        <v>99</v>
      </c>
      <c r="E1198">
        <v>1115</v>
      </c>
    </row>
    <row r="1199" spans="2:5" x14ac:dyDescent="0.3">
      <c r="B1199" s="7">
        <v>45961</v>
      </c>
      <c r="C1199" t="s">
        <v>21</v>
      </c>
      <c r="D1199" t="s">
        <v>100</v>
      </c>
      <c r="E1199">
        <v>956</v>
      </c>
    </row>
    <row r="1200" spans="2:5" x14ac:dyDescent="0.3">
      <c r="B1200" s="7">
        <v>45961</v>
      </c>
      <c r="C1200" t="s">
        <v>21</v>
      </c>
      <c r="D1200" t="s">
        <v>101</v>
      </c>
      <c r="E1200">
        <v>797</v>
      </c>
    </row>
    <row r="1201" spans="2:5" x14ac:dyDescent="0.3">
      <c r="B1201" s="7">
        <v>45961</v>
      </c>
      <c r="C1201" t="s">
        <v>21</v>
      </c>
      <c r="D1201" t="s">
        <v>102</v>
      </c>
      <c r="E1201">
        <v>697</v>
      </c>
    </row>
    <row r="1202" spans="2:5" x14ac:dyDescent="0.3">
      <c r="B1202" s="7">
        <v>45961</v>
      </c>
      <c r="C1202" t="s">
        <v>26</v>
      </c>
      <c r="D1202" t="s">
        <v>92</v>
      </c>
      <c r="E1202">
        <v>5610</v>
      </c>
    </row>
    <row r="1203" spans="2:5" x14ac:dyDescent="0.3">
      <c r="B1203" s="7">
        <v>45961</v>
      </c>
      <c r="C1203" t="s">
        <v>26</v>
      </c>
      <c r="D1203" t="s">
        <v>93</v>
      </c>
      <c r="E1203">
        <v>4740</v>
      </c>
    </row>
    <row r="1204" spans="2:5" x14ac:dyDescent="0.3">
      <c r="B1204" s="7">
        <v>45961</v>
      </c>
      <c r="C1204" t="s">
        <v>26</v>
      </c>
      <c r="D1204" t="s">
        <v>94</v>
      </c>
      <c r="E1204">
        <v>3628</v>
      </c>
    </row>
    <row r="1205" spans="2:5" x14ac:dyDescent="0.3">
      <c r="B1205" s="7">
        <v>45961</v>
      </c>
      <c r="C1205" t="s">
        <v>26</v>
      </c>
      <c r="D1205" t="s">
        <v>95</v>
      </c>
      <c r="E1205">
        <v>4364</v>
      </c>
    </row>
    <row r="1206" spans="2:5" x14ac:dyDescent="0.3">
      <c r="B1206" s="7">
        <v>45961</v>
      </c>
      <c r="C1206" t="s">
        <v>26</v>
      </c>
      <c r="D1206" t="s">
        <v>96</v>
      </c>
      <c r="E1206">
        <v>2493</v>
      </c>
    </row>
    <row r="1207" spans="2:5" x14ac:dyDescent="0.3">
      <c r="B1207" s="7">
        <v>45961</v>
      </c>
      <c r="C1207" t="s">
        <v>26</v>
      </c>
      <c r="D1207" t="s">
        <v>97</v>
      </c>
      <c r="E1207">
        <v>2493</v>
      </c>
    </row>
    <row r="1208" spans="2:5" x14ac:dyDescent="0.3">
      <c r="B1208" s="7">
        <v>45961</v>
      </c>
      <c r="C1208" t="s">
        <v>26</v>
      </c>
      <c r="D1208" t="s">
        <v>98</v>
      </c>
      <c r="E1208">
        <v>1870</v>
      </c>
    </row>
    <row r="1209" spans="2:5" x14ac:dyDescent="0.3">
      <c r="B1209" s="7">
        <v>45961</v>
      </c>
      <c r="C1209" t="s">
        <v>26</v>
      </c>
      <c r="D1209" t="s">
        <v>99</v>
      </c>
      <c r="E1209">
        <v>2182</v>
      </c>
    </row>
    <row r="1210" spans="2:5" x14ac:dyDescent="0.3">
      <c r="B1210" s="7">
        <v>45961</v>
      </c>
      <c r="C1210" t="s">
        <v>26</v>
      </c>
      <c r="D1210" t="s">
        <v>100</v>
      </c>
      <c r="E1210">
        <v>1870</v>
      </c>
    </row>
    <row r="1211" spans="2:5" x14ac:dyDescent="0.3">
      <c r="B1211" s="7">
        <v>45961</v>
      </c>
      <c r="C1211" t="s">
        <v>26</v>
      </c>
      <c r="D1211" t="s">
        <v>101</v>
      </c>
      <c r="E1211">
        <v>1558</v>
      </c>
    </row>
    <row r="1212" spans="2:5" x14ac:dyDescent="0.3">
      <c r="B1212" s="7">
        <v>45961</v>
      </c>
      <c r="C1212" t="s">
        <v>26</v>
      </c>
      <c r="D1212" t="s">
        <v>102</v>
      </c>
      <c r="E1212">
        <v>1158</v>
      </c>
    </row>
    <row r="1213" spans="2:5" x14ac:dyDescent="0.3">
      <c r="B1213" s="7">
        <v>45991</v>
      </c>
      <c r="C1213" t="s">
        <v>3</v>
      </c>
      <c r="D1213" t="s">
        <v>92</v>
      </c>
      <c r="E1213">
        <v>3492</v>
      </c>
    </row>
    <row r="1214" spans="2:5" x14ac:dyDescent="0.3">
      <c r="B1214" s="7">
        <v>45991</v>
      </c>
      <c r="C1214" t="s">
        <v>3</v>
      </c>
      <c r="D1214" t="s">
        <v>93</v>
      </c>
      <c r="E1214">
        <v>2328</v>
      </c>
    </row>
    <row r="1215" spans="2:5" x14ac:dyDescent="0.3">
      <c r="B1215" s="7">
        <v>45991</v>
      </c>
      <c r="C1215" t="s">
        <v>3</v>
      </c>
      <c r="D1215" t="s">
        <v>94</v>
      </c>
      <c r="E1215">
        <v>2134</v>
      </c>
    </row>
    <row r="1216" spans="2:5" x14ac:dyDescent="0.3">
      <c r="B1216" s="7">
        <v>45991</v>
      </c>
      <c r="C1216" t="s">
        <v>3</v>
      </c>
      <c r="D1216" t="s">
        <v>95</v>
      </c>
      <c r="E1216">
        <v>2716</v>
      </c>
    </row>
    <row r="1217" spans="2:5" x14ac:dyDescent="0.3">
      <c r="B1217" s="7">
        <v>45991</v>
      </c>
      <c r="C1217" t="s">
        <v>3</v>
      </c>
      <c r="D1217" t="s">
        <v>96</v>
      </c>
      <c r="E1217">
        <v>1552</v>
      </c>
    </row>
    <row r="1218" spans="2:5" x14ac:dyDescent="0.3">
      <c r="B1218" s="7">
        <v>45991</v>
      </c>
      <c r="C1218" t="s">
        <v>3</v>
      </c>
      <c r="D1218" t="s">
        <v>97</v>
      </c>
      <c r="E1218">
        <v>1552</v>
      </c>
    </row>
    <row r="1219" spans="2:5" x14ac:dyDescent="0.3">
      <c r="B1219" s="7">
        <v>45991</v>
      </c>
      <c r="C1219" t="s">
        <v>3</v>
      </c>
      <c r="D1219" t="s">
        <v>98</v>
      </c>
      <c r="E1219">
        <v>1164</v>
      </c>
    </row>
    <row r="1220" spans="2:5" x14ac:dyDescent="0.3">
      <c r="B1220" s="7">
        <v>45991</v>
      </c>
      <c r="C1220" t="s">
        <v>3</v>
      </c>
      <c r="D1220" t="s">
        <v>99</v>
      </c>
      <c r="E1220">
        <v>1358</v>
      </c>
    </row>
    <row r="1221" spans="2:5" x14ac:dyDescent="0.3">
      <c r="B1221" s="7">
        <v>45991</v>
      </c>
      <c r="C1221" t="s">
        <v>3</v>
      </c>
      <c r="D1221" t="s">
        <v>100</v>
      </c>
      <c r="E1221">
        <v>1164</v>
      </c>
    </row>
    <row r="1222" spans="2:5" x14ac:dyDescent="0.3">
      <c r="B1222" s="7">
        <v>45991</v>
      </c>
      <c r="C1222" t="s">
        <v>3</v>
      </c>
      <c r="D1222" t="s">
        <v>101</v>
      </c>
      <c r="E1222">
        <v>970</v>
      </c>
    </row>
    <row r="1223" spans="2:5" x14ac:dyDescent="0.3">
      <c r="B1223" s="7">
        <v>45991</v>
      </c>
      <c r="C1223" t="s">
        <v>3</v>
      </c>
      <c r="D1223" t="s">
        <v>102</v>
      </c>
      <c r="E1223">
        <v>770</v>
      </c>
    </row>
    <row r="1224" spans="2:5" x14ac:dyDescent="0.3">
      <c r="B1224" s="7">
        <v>45991</v>
      </c>
      <c r="C1224" t="s">
        <v>9</v>
      </c>
      <c r="D1224" t="s">
        <v>92</v>
      </c>
      <c r="E1224">
        <v>4590</v>
      </c>
    </row>
    <row r="1225" spans="2:5" x14ac:dyDescent="0.3">
      <c r="B1225" s="7">
        <v>45991</v>
      </c>
      <c r="C1225" t="s">
        <v>9</v>
      </c>
      <c r="D1225" t="s">
        <v>93</v>
      </c>
      <c r="E1225">
        <v>3060</v>
      </c>
    </row>
    <row r="1226" spans="2:5" x14ac:dyDescent="0.3">
      <c r="B1226" s="7">
        <v>45991</v>
      </c>
      <c r="C1226" t="s">
        <v>9</v>
      </c>
      <c r="D1226" t="s">
        <v>94</v>
      </c>
      <c r="E1226">
        <v>2805</v>
      </c>
    </row>
    <row r="1227" spans="2:5" x14ac:dyDescent="0.3">
      <c r="B1227" s="7">
        <v>45991</v>
      </c>
      <c r="C1227" t="s">
        <v>9</v>
      </c>
      <c r="D1227" t="s">
        <v>95</v>
      </c>
      <c r="E1227">
        <v>3570</v>
      </c>
    </row>
    <row r="1228" spans="2:5" x14ac:dyDescent="0.3">
      <c r="B1228" s="7">
        <v>45991</v>
      </c>
      <c r="C1228" t="s">
        <v>9</v>
      </c>
      <c r="D1228" t="s">
        <v>96</v>
      </c>
      <c r="E1228">
        <v>2040</v>
      </c>
    </row>
    <row r="1229" spans="2:5" x14ac:dyDescent="0.3">
      <c r="B1229" s="7">
        <v>45991</v>
      </c>
      <c r="C1229" t="s">
        <v>9</v>
      </c>
      <c r="D1229" t="s">
        <v>97</v>
      </c>
      <c r="E1229">
        <v>2040</v>
      </c>
    </row>
    <row r="1230" spans="2:5" x14ac:dyDescent="0.3">
      <c r="B1230" s="7">
        <v>45991</v>
      </c>
      <c r="C1230" t="s">
        <v>9</v>
      </c>
      <c r="D1230" t="s">
        <v>98</v>
      </c>
      <c r="E1230">
        <v>1530</v>
      </c>
    </row>
    <row r="1231" spans="2:5" x14ac:dyDescent="0.3">
      <c r="B1231" s="7">
        <v>45991</v>
      </c>
      <c r="C1231" t="s">
        <v>9</v>
      </c>
      <c r="D1231" t="s">
        <v>99</v>
      </c>
      <c r="E1231">
        <v>1785</v>
      </c>
    </row>
    <row r="1232" spans="2:5" x14ac:dyDescent="0.3">
      <c r="B1232" s="7">
        <v>45991</v>
      </c>
      <c r="C1232" t="s">
        <v>9</v>
      </c>
      <c r="D1232" t="s">
        <v>100</v>
      </c>
      <c r="E1232">
        <v>1530</v>
      </c>
    </row>
    <row r="1233" spans="2:5" x14ac:dyDescent="0.3">
      <c r="B1233" s="7">
        <v>45991</v>
      </c>
      <c r="C1233" t="s">
        <v>9</v>
      </c>
      <c r="D1233" t="s">
        <v>101</v>
      </c>
      <c r="E1233">
        <v>1875</v>
      </c>
    </row>
    <row r="1234" spans="2:5" x14ac:dyDescent="0.3">
      <c r="B1234" s="7">
        <v>45991</v>
      </c>
      <c r="C1234" t="s">
        <v>9</v>
      </c>
      <c r="D1234" t="s">
        <v>102</v>
      </c>
      <c r="E1234">
        <v>1275</v>
      </c>
    </row>
    <row r="1235" spans="2:5" x14ac:dyDescent="0.3">
      <c r="B1235" s="7">
        <v>45991</v>
      </c>
      <c r="C1235" t="s">
        <v>69</v>
      </c>
      <c r="D1235" t="s">
        <v>92</v>
      </c>
      <c r="E1235">
        <v>2240</v>
      </c>
    </row>
    <row r="1236" spans="2:5" x14ac:dyDescent="0.3">
      <c r="B1236" s="7">
        <v>45991</v>
      </c>
      <c r="C1236" t="s">
        <v>69</v>
      </c>
      <c r="D1236" t="s">
        <v>93</v>
      </c>
      <c r="E1236">
        <v>2760</v>
      </c>
    </row>
    <row r="1237" spans="2:5" x14ac:dyDescent="0.3">
      <c r="B1237" s="7">
        <v>45991</v>
      </c>
      <c r="C1237" t="s">
        <v>69</v>
      </c>
      <c r="D1237" t="s">
        <v>94</v>
      </c>
      <c r="E1237">
        <v>1980</v>
      </c>
    </row>
    <row r="1238" spans="2:5" x14ac:dyDescent="0.3">
      <c r="B1238" s="7">
        <v>45991</v>
      </c>
      <c r="C1238" t="s">
        <v>69</v>
      </c>
      <c r="D1238" t="s">
        <v>95</v>
      </c>
      <c r="E1238">
        <v>1020</v>
      </c>
    </row>
    <row r="1239" spans="2:5" x14ac:dyDescent="0.3">
      <c r="B1239" s="7">
        <v>45991</v>
      </c>
      <c r="C1239" t="s">
        <v>69</v>
      </c>
      <c r="D1239" t="s">
        <v>96</v>
      </c>
      <c r="E1239">
        <v>1440</v>
      </c>
    </row>
    <row r="1240" spans="2:5" x14ac:dyDescent="0.3">
      <c r="B1240" s="7">
        <v>45991</v>
      </c>
      <c r="C1240" t="s">
        <v>69</v>
      </c>
      <c r="D1240" t="s">
        <v>97</v>
      </c>
      <c r="E1240">
        <v>1440</v>
      </c>
    </row>
    <row r="1241" spans="2:5" x14ac:dyDescent="0.3">
      <c r="B1241" s="7">
        <v>45991</v>
      </c>
      <c r="C1241" t="s">
        <v>69</v>
      </c>
      <c r="D1241" t="s">
        <v>98</v>
      </c>
      <c r="E1241">
        <v>1080</v>
      </c>
    </row>
    <row r="1242" spans="2:5" x14ac:dyDescent="0.3">
      <c r="B1242" s="7">
        <v>45991</v>
      </c>
      <c r="C1242" t="s">
        <v>69</v>
      </c>
      <c r="D1242" t="s">
        <v>99</v>
      </c>
      <c r="E1242">
        <v>560</v>
      </c>
    </row>
    <row r="1243" spans="2:5" x14ac:dyDescent="0.3">
      <c r="B1243" s="7">
        <v>45991</v>
      </c>
      <c r="C1243" t="s">
        <v>69</v>
      </c>
      <c r="D1243" t="s">
        <v>100</v>
      </c>
      <c r="E1243">
        <v>880</v>
      </c>
    </row>
    <row r="1244" spans="2:5" x14ac:dyDescent="0.3">
      <c r="B1244" s="7">
        <v>45991</v>
      </c>
      <c r="C1244" t="s">
        <v>69</v>
      </c>
      <c r="D1244" t="s">
        <v>101</v>
      </c>
      <c r="E1244">
        <v>900</v>
      </c>
    </row>
    <row r="1245" spans="2:5" x14ac:dyDescent="0.3">
      <c r="B1245" s="7">
        <v>45991</v>
      </c>
      <c r="C1245" t="s">
        <v>69</v>
      </c>
      <c r="D1245" t="s">
        <v>102</v>
      </c>
      <c r="E1245">
        <v>900</v>
      </c>
    </row>
    <row r="1246" spans="2:5" x14ac:dyDescent="0.3">
      <c r="B1246" s="7">
        <v>45991</v>
      </c>
      <c r="C1246" t="s">
        <v>21</v>
      </c>
      <c r="D1246" t="s">
        <v>92</v>
      </c>
      <c r="E1246">
        <v>1868</v>
      </c>
    </row>
    <row r="1247" spans="2:5" x14ac:dyDescent="0.3">
      <c r="B1247" s="7">
        <v>45991</v>
      </c>
      <c r="C1247" t="s">
        <v>21</v>
      </c>
      <c r="D1247" t="s">
        <v>93</v>
      </c>
      <c r="E1247">
        <v>3912</v>
      </c>
    </row>
    <row r="1248" spans="2:5" x14ac:dyDescent="0.3">
      <c r="B1248" s="7">
        <v>45991</v>
      </c>
      <c r="C1248" t="s">
        <v>21</v>
      </c>
      <c r="D1248" t="s">
        <v>94</v>
      </c>
      <c r="E1248">
        <v>1753</v>
      </c>
    </row>
    <row r="1249" spans="2:5" x14ac:dyDescent="0.3">
      <c r="B1249" s="7">
        <v>45991</v>
      </c>
      <c r="C1249" t="s">
        <v>21</v>
      </c>
      <c r="D1249" t="s">
        <v>95</v>
      </c>
      <c r="E1249">
        <v>1231</v>
      </c>
    </row>
    <row r="1250" spans="2:5" x14ac:dyDescent="0.3">
      <c r="B1250" s="7">
        <v>45991</v>
      </c>
      <c r="C1250" t="s">
        <v>21</v>
      </c>
      <c r="D1250" t="s">
        <v>96</v>
      </c>
      <c r="E1250">
        <v>1275</v>
      </c>
    </row>
    <row r="1251" spans="2:5" x14ac:dyDescent="0.3">
      <c r="B1251" s="7">
        <v>45991</v>
      </c>
      <c r="C1251" t="s">
        <v>21</v>
      </c>
      <c r="D1251" t="s">
        <v>97</v>
      </c>
      <c r="E1251">
        <v>1275</v>
      </c>
    </row>
    <row r="1252" spans="2:5" x14ac:dyDescent="0.3">
      <c r="B1252" s="7">
        <v>45991</v>
      </c>
      <c r="C1252" t="s">
        <v>21</v>
      </c>
      <c r="D1252" t="s">
        <v>98</v>
      </c>
      <c r="E1252">
        <v>1056</v>
      </c>
    </row>
    <row r="1253" spans="2:5" x14ac:dyDescent="0.3">
      <c r="B1253" s="7">
        <v>45991</v>
      </c>
      <c r="C1253" t="s">
        <v>21</v>
      </c>
      <c r="D1253" t="s">
        <v>99</v>
      </c>
      <c r="E1253">
        <v>1315</v>
      </c>
    </row>
    <row r="1254" spans="2:5" x14ac:dyDescent="0.3">
      <c r="B1254" s="7">
        <v>45991</v>
      </c>
      <c r="C1254" t="s">
        <v>21</v>
      </c>
      <c r="D1254" t="s">
        <v>100</v>
      </c>
      <c r="E1254">
        <v>956</v>
      </c>
    </row>
    <row r="1255" spans="2:5" x14ac:dyDescent="0.3">
      <c r="B1255" s="7">
        <v>45991</v>
      </c>
      <c r="C1255" t="s">
        <v>21</v>
      </c>
      <c r="D1255" t="s">
        <v>101</v>
      </c>
      <c r="E1255">
        <v>1797</v>
      </c>
    </row>
    <row r="1256" spans="2:5" x14ac:dyDescent="0.3">
      <c r="B1256" s="7">
        <v>45991</v>
      </c>
      <c r="C1256" t="s">
        <v>21</v>
      </c>
      <c r="D1256" t="s">
        <v>102</v>
      </c>
      <c r="E1256">
        <v>797</v>
      </c>
    </row>
    <row r="1257" spans="2:5" x14ac:dyDescent="0.3">
      <c r="B1257" s="7">
        <v>45991</v>
      </c>
      <c r="C1257" t="s">
        <v>26</v>
      </c>
      <c r="D1257" t="s">
        <v>92</v>
      </c>
      <c r="E1257">
        <v>4000</v>
      </c>
    </row>
    <row r="1258" spans="2:5" x14ac:dyDescent="0.3">
      <c r="B1258" s="7">
        <v>45991</v>
      </c>
      <c r="C1258" t="s">
        <v>26</v>
      </c>
      <c r="D1258" t="s">
        <v>93</v>
      </c>
      <c r="E1258">
        <v>3900</v>
      </c>
    </row>
    <row r="1259" spans="2:5" x14ac:dyDescent="0.3">
      <c r="B1259" s="7">
        <v>45991</v>
      </c>
      <c r="C1259" t="s">
        <v>26</v>
      </c>
      <c r="D1259" t="s">
        <v>94</v>
      </c>
      <c r="E1259">
        <v>3300</v>
      </c>
    </row>
    <row r="1260" spans="2:5" x14ac:dyDescent="0.3">
      <c r="B1260" s="7">
        <v>45991</v>
      </c>
      <c r="C1260" t="s">
        <v>26</v>
      </c>
      <c r="D1260" t="s">
        <v>95</v>
      </c>
      <c r="E1260">
        <v>2000</v>
      </c>
    </row>
    <row r="1261" spans="2:5" x14ac:dyDescent="0.3">
      <c r="B1261" s="7">
        <v>45991</v>
      </c>
      <c r="C1261" t="s">
        <v>26</v>
      </c>
      <c r="D1261" t="s">
        <v>96</v>
      </c>
      <c r="E1261">
        <v>2900</v>
      </c>
    </row>
    <row r="1262" spans="2:5" x14ac:dyDescent="0.3">
      <c r="B1262" s="7">
        <v>45991</v>
      </c>
      <c r="C1262" t="s">
        <v>26</v>
      </c>
      <c r="D1262" t="s">
        <v>97</v>
      </c>
      <c r="E1262">
        <v>2400</v>
      </c>
    </row>
    <row r="1263" spans="2:5" x14ac:dyDescent="0.3">
      <c r="B1263" s="7">
        <v>45991</v>
      </c>
      <c r="C1263" t="s">
        <v>26</v>
      </c>
      <c r="D1263" t="s">
        <v>98</v>
      </c>
      <c r="E1263">
        <v>1800</v>
      </c>
    </row>
    <row r="1264" spans="2:5" x14ac:dyDescent="0.3">
      <c r="B1264" s="7">
        <v>45991</v>
      </c>
      <c r="C1264" t="s">
        <v>26</v>
      </c>
      <c r="D1264" t="s">
        <v>99</v>
      </c>
      <c r="E1264">
        <v>2100</v>
      </c>
    </row>
    <row r="1265" spans="2:5" x14ac:dyDescent="0.3">
      <c r="B1265" s="7">
        <v>45991</v>
      </c>
      <c r="C1265" t="s">
        <v>26</v>
      </c>
      <c r="D1265" t="s">
        <v>100</v>
      </c>
      <c r="E1265">
        <v>1800</v>
      </c>
    </row>
    <row r="1266" spans="2:5" x14ac:dyDescent="0.3">
      <c r="B1266" s="7">
        <v>45991</v>
      </c>
      <c r="C1266" t="s">
        <v>26</v>
      </c>
      <c r="D1266" t="s">
        <v>101</v>
      </c>
      <c r="E1266">
        <v>1500</v>
      </c>
    </row>
    <row r="1267" spans="2:5" x14ac:dyDescent="0.3">
      <c r="B1267" s="7">
        <v>45991</v>
      </c>
      <c r="C1267" t="s">
        <v>26</v>
      </c>
      <c r="D1267" t="s">
        <v>102</v>
      </c>
      <c r="E1267">
        <v>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A896-5A7A-4518-8D78-A7A2657850C5}">
  <dimension ref="C4:O27"/>
  <sheetViews>
    <sheetView tabSelected="1" topLeftCell="E3" zoomScale="156" workbookViewId="0">
      <selection activeCell="O12" sqref="O12"/>
    </sheetView>
  </sheetViews>
  <sheetFormatPr defaultRowHeight="14.4" x14ac:dyDescent="0.3"/>
  <cols>
    <col min="3" max="3" width="10.6640625" bestFit="1" customWidth="1"/>
    <col min="4" max="9" width="9" bestFit="1" customWidth="1"/>
    <col min="14" max="14" width="13.21875" customWidth="1"/>
    <col min="15" max="15" width="10.21875" customWidth="1"/>
  </cols>
  <sheetData>
    <row r="4" spans="3:15" x14ac:dyDescent="0.3">
      <c r="C4" s="12" t="s">
        <v>82</v>
      </c>
      <c r="D4" s="12" t="s">
        <v>80</v>
      </c>
      <c r="E4" s="12" t="s">
        <v>9</v>
      </c>
      <c r="F4" s="12" t="s">
        <v>81</v>
      </c>
      <c r="G4" s="12" t="s">
        <v>26</v>
      </c>
      <c r="H4" s="12" t="s">
        <v>87</v>
      </c>
      <c r="I4" s="13" t="s">
        <v>70</v>
      </c>
    </row>
    <row r="5" spans="3:15" x14ac:dyDescent="0.3">
      <c r="C5" s="10">
        <v>45322</v>
      </c>
      <c r="D5">
        <v>190000</v>
      </c>
      <c r="E5">
        <v>95000</v>
      </c>
      <c r="F5">
        <v>65000</v>
      </c>
      <c r="G5">
        <v>25000</v>
      </c>
      <c r="H5">
        <v>48000</v>
      </c>
      <c r="I5">
        <f t="shared" ref="I5:I27" si="0">SUM(D5:H5)</f>
        <v>423000</v>
      </c>
    </row>
    <row r="6" spans="3:15" x14ac:dyDescent="0.3">
      <c r="C6" s="11">
        <v>45351</v>
      </c>
      <c r="D6">
        <v>195000</v>
      </c>
      <c r="E6">
        <v>100000</v>
      </c>
      <c r="F6">
        <v>70000</v>
      </c>
      <c r="G6">
        <v>26000</v>
      </c>
      <c r="H6">
        <v>50000</v>
      </c>
      <c r="I6">
        <f t="shared" si="0"/>
        <v>441000</v>
      </c>
      <c r="N6" s="6" t="s">
        <v>109</v>
      </c>
      <c r="O6" s="14" t="s">
        <v>110</v>
      </c>
    </row>
    <row r="7" spans="3:15" x14ac:dyDescent="0.3">
      <c r="C7" s="10">
        <v>45382</v>
      </c>
      <c r="D7">
        <v>205000</v>
      </c>
      <c r="E7">
        <v>105000</v>
      </c>
      <c r="F7">
        <v>73000</v>
      </c>
      <c r="G7">
        <v>27000</v>
      </c>
      <c r="H7">
        <v>52000</v>
      </c>
      <c r="I7">
        <f t="shared" si="0"/>
        <v>462000</v>
      </c>
      <c r="N7" s="15" t="s">
        <v>80</v>
      </c>
      <c r="O7" s="16">
        <f>60000+80000/2</f>
        <v>100000</v>
      </c>
    </row>
    <row r="8" spans="3:15" x14ac:dyDescent="0.3">
      <c r="C8" s="11">
        <v>45412</v>
      </c>
      <c r="D8">
        <v>180000</v>
      </c>
      <c r="E8">
        <v>90000</v>
      </c>
      <c r="F8">
        <v>60000</v>
      </c>
      <c r="G8">
        <v>24000</v>
      </c>
      <c r="H8">
        <v>46000</v>
      </c>
      <c r="I8">
        <f t="shared" si="0"/>
        <v>400000</v>
      </c>
      <c r="N8" s="15" t="s">
        <v>9</v>
      </c>
      <c r="O8" s="17">
        <f>60000+100000/2</f>
        <v>110000</v>
      </c>
    </row>
    <row r="9" spans="3:15" x14ac:dyDescent="0.3">
      <c r="C9" s="10">
        <v>45443</v>
      </c>
      <c r="D9">
        <v>185000</v>
      </c>
      <c r="E9">
        <v>93000</v>
      </c>
      <c r="F9">
        <v>63000</v>
      </c>
      <c r="G9">
        <v>25000</v>
      </c>
      <c r="H9">
        <v>48000</v>
      </c>
      <c r="I9">
        <f t="shared" si="0"/>
        <v>414000</v>
      </c>
      <c r="N9" s="15" t="s">
        <v>81</v>
      </c>
      <c r="O9" s="17">
        <f>70000+90000/2</f>
        <v>115000</v>
      </c>
    </row>
    <row r="10" spans="3:15" x14ac:dyDescent="0.3">
      <c r="C10" s="11">
        <v>45473</v>
      </c>
      <c r="D10">
        <v>182000</v>
      </c>
      <c r="E10">
        <v>91000</v>
      </c>
      <c r="F10">
        <v>62000</v>
      </c>
      <c r="G10">
        <v>24000</v>
      </c>
      <c r="H10">
        <v>47000</v>
      </c>
      <c r="I10">
        <f t="shared" si="0"/>
        <v>406000</v>
      </c>
      <c r="N10" s="15" t="s">
        <v>26</v>
      </c>
      <c r="O10" s="17">
        <f>70000+90000/2</f>
        <v>115000</v>
      </c>
    </row>
    <row r="11" spans="3:15" x14ac:dyDescent="0.3">
      <c r="C11" s="10">
        <v>45504</v>
      </c>
      <c r="D11">
        <v>195000</v>
      </c>
      <c r="E11">
        <v>100000</v>
      </c>
      <c r="F11">
        <v>68000</v>
      </c>
      <c r="G11">
        <v>26000</v>
      </c>
      <c r="H11">
        <v>50000</v>
      </c>
      <c r="I11">
        <f t="shared" si="0"/>
        <v>439000</v>
      </c>
      <c r="N11" s="15" t="s">
        <v>87</v>
      </c>
      <c r="O11" s="17">
        <f>60000+80000/2</f>
        <v>100000</v>
      </c>
    </row>
    <row r="12" spans="3:15" x14ac:dyDescent="0.3">
      <c r="C12" s="11">
        <v>45535</v>
      </c>
      <c r="D12">
        <v>198000</v>
      </c>
      <c r="E12">
        <v>103000</v>
      </c>
      <c r="F12">
        <v>70000</v>
      </c>
      <c r="G12">
        <v>27000</v>
      </c>
      <c r="H12">
        <v>51000</v>
      </c>
      <c r="I12">
        <f t="shared" si="0"/>
        <v>449000</v>
      </c>
    </row>
    <row r="13" spans="3:15" x14ac:dyDescent="0.3">
      <c r="C13" s="10">
        <v>45565</v>
      </c>
      <c r="D13">
        <v>200000</v>
      </c>
      <c r="E13">
        <v>105000</v>
      </c>
      <c r="F13">
        <v>72000</v>
      </c>
      <c r="G13">
        <v>27000</v>
      </c>
      <c r="H13">
        <v>52000</v>
      </c>
      <c r="I13">
        <f t="shared" si="0"/>
        <v>456000</v>
      </c>
    </row>
    <row r="14" spans="3:15" x14ac:dyDescent="0.3">
      <c r="C14" s="11">
        <v>45596</v>
      </c>
      <c r="D14">
        <v>215000</v>
      </c>
      <c r="E14">
        <v>120000</v>
      </c>
      <c r="F14">
        <v>85000</v>
      </c>
      <c r="G14">
        <v>30000</v>
      </c>
      <c r="H14">
        <v>60000</v>
      </c>
      <c r="I14">
        <f t="shared" si="0"/>
        <v>510000</v>
      </c>
    </row>
    <row r="15" spans="3:15" x14ac:dyDescent="0.3">
      <c r="C15" s="10">
        <v>45626</v>
      </c>
      <c r="D15">
        <v>210000</v>
      </c>
      <c r="E15">
        <v>118000</v>
      </c>
      <c r="F15">
        <v>82000</v>
      </c>
      <c r="G15">
        <v>29000</v>
      </c>
      <c r="H15">
        <v>58000</v>
      </c>
      <c r="I15">
        <f t="shared" si="0"/>
        <v>497000</v>
      </c>
    </row>
    <row r="16" spans="3:15" x14ac:dyDescent="0.3">
      <c r="C16" s="11">
        <v>45657</v>
      </c>
      <c r="D16">
        <v>205000</v>
      </c>
      <c r="E16">
        <v>110000</v>
      </c>
      <c r="F16">
        <v>77000</v>
      </c>
      <c r="G16">
        <v>28000</v>
      </c>
      <c r="H16">
        <v>56000</v>
      </c>
      <c r="I16">
        <f t="shared" si="0"/>
        <v>476000</v>
      </c>
    </row>
    <row r="17" spans="3:9" x14ac:dyDescent="0.3">
      <c r="C17" s="10">
        <v>45688</v>
      </c>
      <c r="D17">
        <v>166739</v>
      </c>
      <c r="E17">
        <v>122000</v>
      </c>
      <c r="F17">
        <v>81000</v>
      </c>
      <c r="G17">
        <v>30000</v>
      </c>
      <c r="H17">
        <v>49000</v>
      </c>
      <c r="I17">
        <f t="shared" si="0"/>
        <v>448739</v>
      </c>
    </row>
    <row r="18" spans="3:9" x14ac:dyDescent="0.3">
      <c r="C18" s="11">
        <v>45716</v>
      </c>
      <c r="D18">
        <v>174009</v>
      </c>
      <c r="E18">
        <v>125000</v>
      </c>
      <c r="F18">
        <v>85000</v>
      </c>
      <c r="G18">
        <v>31000</v>
      </c>
      <c r="H18">
        <v>50500</v>
      </c>
      <c r="I18">
        <f t="shared" si="0"/>
        <v>465509</v>
      </c>
    </row>
    <row r="19" spans="3:9" x14ac:dyDescent="0.3">
      <c r="C19" s="10">
        <v>45747</v>
      </c>
      <c r="D19">
        <v>189735</v>
      </c>
      <c r="E19">
        <v>105834</v>
      </c>
      <c r="F19">
        <v>88000</v>
      </c>
      <c r="G19">
        <v>34863</v>
      </c>
      <c r="H19">
        <v>52000</v>
      </c>
      <c r="I19">
        <f t="shared" si="0"/>
        <v>470432</v>
      </c>
    </row>
    <row r="20" spans="3:9" x14ac:dyDescent="0.3">
      <c r="C20" s="11">
        <v>45777</v>
      </c>
      <c r="D20">
        <v>200000</v>
      </c>
      <c r="E20">
        <v>102538</v>
      </c>
      <c r="F20">
        <v>83000</v>
      </c>
      <c r="G20">
        <v>30500</v>
      </c>
      <c r="H20">
        <v>48500</v>
      </c>
      <c r="I20">
        <f t="shared" si="0"/>
        <v>464538</v>
      </c>
    </row>
    <row r="21" spans="3:9" x14ac:dyDescent="0.3">
      <c r="C21" s="10">
        <v>45808</v>
      </c>
      <c r="D21">
        <v>205000</v>
      </c>
      <c r="E21">
        <v>125000</v>
      </c>
      <c r="F21">
        <v>87000</v>
      </c>
      <c r="G21">
        <v>31500</v>
      </c>
      <c r="H21">
        <v>50000</v>
      </c>
      <c r="I21">
        <f t="shared" si="0"/>
        <v>498500</v>
      </c>
    </row>
    <row r="22" spans="3:9" x14ac:dyDescent="0.3">
      <c r="C22" s="11">
        <v>45838</v>
      </c>
      <c r="D22">
        <v>202000</v>
      </c>
      <c r="E22">
        <v>123000</v>
      </c>
      <c r="F22">
        <v>85000</v>
      </c>
      <c r="G22">
        <v>31000</v>
      </c>
      <c r="H22">
        <v>49000</v>
      </c>
      <c r="I22">
        <f t="shared" si="0"/>
        <v>490000</v>
      </c>
    </row>
    <row r="23" spans="3:9" x14ac:dyDescent="0.3">
      <c r="C23" s="10">
        <v>45869</v>
      </c>
      <c r="D23">
        <v>215000</v>
      </c>
      <c r="E23">
        <v>132000</v>
      </c>
      <c r="F23">
        <v>90000</v>
      </c>
      <c r="G23">
        <v>33000</v>
      </c>
      <c r="H23">
        <v>52000</v>
      </c>
      <c r="I23">
        <f t="shared" si="0"/>
        <v>522000</v>
      </c>
    </row>
    <row r="24" spans="3:9" x14ac:dyDescent="0.3">
      <c r="C24" s="11">
        <v>45900</v>
      </c>
      <c r="D24">
        <v>220000</v>
      </c>
      <c r="E24">
        <v>135000</v>
      </c>
      <c r="F24">
        <v>92000</v>
      </c>
      <c r="G24">
        <v>34000</v>
      </c>
      <c r="H24">
        <v>53000</v>
      </c>
      <c r="I24">
        <f t="shared" si="0"/>
        <v>534000</v>
      </c>
    </row>
    <row r="25" spans="3:9" x14ac:dyDescent="0.3">
      <c r="C25" s="10">
        <v>45930</v>
      </c>
      <c r="D25">
        <v>225000</v>
      </c>
      <c r="E25">
        <v>138000</v>
      </c>
      <c r="F25">
        <v>95000</v>
      </c>
      <c r="G25">
        <v>34500</v>
      </c>
      <c r="H25">
        <v>54000</v>
      </c>
      <c r="I25">
        <f t="shared" si="0"/>
        <v>546500</v>
      </c>
    </row>
    <row r="26" spans="3:9" x14ac:dyDescent="0.3">
      <c r="C26" s="11">
        <v>45961</v>
      </c>
      <c r="D26">
        <v>245000</v>
      </c>
      <c r="E26">
        <v>150000</v>
      </c>
      <c r="F26">
        <v>105000</v>
      </c>
      <c r="G26">
        <v>37000</v>
      </c>
      <c r="H26">
        <v>65000</v>
      </c>
      <c r="I26">
        <f t="shared" si="0"/>
        <v>602000</v>
      </c>
    </row>
    <row r="27" spans="3:9" x14ac:dyDescent="0.3">
      <c r="C27" s="10">
        <v>45991</v>
      </c>
      <c r="D27">
        <v>238000</v>
      </c>
      <c r="E27">
        <v>140000</v>
      </c>
      <c r="F27">
        <v>102000</v>
      </c>
      <c r="G27">
        <v>36000</v>
      </c>
      <c r="H27">
        <v>63000</v>
      </c>
      <c r="I27">
        <f t="shared" si="0"/>
        <v>579000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85AA-F299-4BB9-AEA8-335782249BE6}">
  <dimension ref="D4:H6"/>
  <sheetViews>
    <sheetView zoomScale="123" workbookViewId="0">
      <selection activeCell="H13" sqref="H13"/>
    </sheetView>
  </sheetViews>
  <sheetFormatPr defaultRowHeight="14.4" x14ac:dyDescent="0.3"/>
  <cols>
    <col min="4" max="4" width="12.77734375" customWidth="1"/>
    <col min="6" max="6" width="9.77734375" customWidth="1"/>
    <col min="8" max="8" width="14.77734375" customWidth="1"/>
  </cols>
  <sheetData>
    <row r="4" spans="4:8" x14ac:dyDescent="0.3">
      <c r="D4" t="s">
        <v>74</v>
      </c>
      <c r="E4" t="s">
        <v>72</v>
      </c>
      <c r="F4" t="s">
        <v>83</v>
      </c>
      <c r="G4" t="s">
        <v>73</v>
      </c>
      <c r="H4" t="s">
        <v>84</v>
      </c>
    </row>
    <row r="5" spans="4:8" x14ac:dyDescent="0.3">
      <c r="D5" t="s">
        <v>85</v>
      </c>
      <c r="E5">
        <v>8500</v>
      </c>
      <c r="F5">
        <v>0</v>
      </c>
      <c r="G5">
        <v>5</v>
      </c>
      <c r="H5">
        <v>2000</v>
      </c>
    </row>
    <row r="6" spans="4:8" x14ac:dyDescent="0.3">
      <c r="D6" t="s">
        <v>86</v>
      </c>
      <c r="E6">
        <v>12500</v>
      </c>
      <c r="F6">
        <v>12</v>
      </c>
      <c r="G6">
        <v>18</v>
      </c>
      <c r="H6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</vt:lpstr>
      <vt:lpstr>EV Full Details</vt:lpstr>
      <vt:lpstr>Price</vt:lpstr>
      <vt:lpstr>Total EV sales Units</vt:lpstr>
      <vt:lpstr>State wise EV sales </vt:lpstr>
      <vt:lpstr>Petrol Scooter Sales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S</dc:creator>
  <cp:lastModifiedBy>Aakash S</cp:lastModifiedBy>
  <dcterms:created xsi:type="dcterms:W3CDTF">2025-11-09T12:46:50Z</dcterms:created>
  <dcterms:modified xsi:type="dcterms:W3CDTF">2025-12-13T10:23:14Z</dcterms:modified>
</cp:coreProperties>
</file>